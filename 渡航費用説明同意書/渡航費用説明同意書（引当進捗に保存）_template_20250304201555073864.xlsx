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CF-LV7-026\Downloads\"/>
    </mc:Choice>
  </mc:AlternateContent>
  <bookViews>
    <workbookView xWindow="-111" yWindow="-111" windowWidth="21823" windowHeight="13903"/>
  </bookViews>
  <sheets>
    <sheet name="渡航費用説明同意書" sheetId="5" r:id="rId1"/>
  </sheets>
  <externalReferences>
    <externalReference r:id="rId2"/>
    <externalReference r:id="rId3"/>
    <externalReference r:id="rId4"/>
  </externalReferences>
  <definedNames>
    <definedName name="JPROCESS_A" localSheetId="0">[1]備品リース料!$B$6,[1]備品リース料!$AN$6,[1]備品リース料!$AT$6,[1]備品リース料!$AX$6,[1]備品リース料!$B$9,[1]備品リース料!$AE$9,[1]備品リース料!$B$12,[1]備品リース料!$AE$12,[1]備品リース料!$B$15,[1]備品リース料!$AE$15,[1]備品リース料!$AE$18,[1]備品リース料!$B$21,[1]備品リース料!$AE$21,[1]備品リース料!$B$24,[1]備品リース料!$AE$24,[1]備品リース料!$B$27,[1]備品リース料!$AE$27,[1]備品リース料!$AE$30,[1]備品リース料!$B$33,[1]備品リース料!$AE$33,[1]備品リース料!$D$36,[1]備品リース料!$D$40,[1]備品リース料!$A$46:$IV$46,[1]備品リース料!$A$48:$IV$48,[1]備品リース料!$A$50:$IV$50,[1]備品リース料!$A$52:$IV$52,[1]備品リース料!$A$54:$IV$54,[1]備品リース料!$A$56:$IV$56,[1]備品リース料!$A$58:$IV$58,[1]備品リース料!$A$60:$IV$60,[1]備品リース料!$A$62:$IV$62,[1]備品リース料!$A$64:$IV$64,[1]備品リース料!$A$66:$IV$66</definedName>
    <definedName name="JPROCESS_A">[2]備品リース料!$B$6,[2]備品リース料!$AN$6,[2]備品リース料!$AT$6,[2]備品リース料!$AX$6,[2]備品リース料!$B$9,[2]備品リース料!$AE$9,[2]備品リース料!$B$12,[2]備品リース料!$AE$12,[2]備品リース料!$B$15,[2]備品リース料!$AE$15,[2]備品リース料!$AE$18,[2]備品リース料!$B$21,[2]備品リース料!$AE$21,[2]備品リース料!$B$24,[2]備品リース料!$AE$24,[2]備品リース料!$B$27,[2]備品リース料!$AE$27,[2]備品リース料!$AE$30,[2]備品リース料!$B$33,[2]備品リース料!$AE$33,[2]備品リース料!$D$36,[2]備品リース料!$D$40,[2]備品リース料!$A$46:$IV$46,[2]備品リース料!$A$48:$IV$48,[2]備品リース料!$A$50:$IV$50,[2]備品リース料!$A$52:$IV$52,[2]備品リース料!$A$54:$IV$54,[2]備品リース料!$A$56:$IV$56,[2]備品リース料!$A$58:$IV$58,[2]備品リース料!$A$60:$IV$60,[2]備品リース料!$A$62:$IV$62,[2]備品リース料!$A$64:$IV$64,[2]備品リース料!$A$66:$IV$66</definedName>
    <definedName name="JPROCESS_B" localSheetId="0">[1]教育・解雇!$A$2:$IV$2,[1]教育・解雇!$A$6:$IV$6,[1]教育・解雇!$A$8:$IV$8,[1]教育・解雇!$A$11:$IV$11,[1]教育・解雇!$A$14:$IV$14,[1]教育・解雇!$A$16:$IV$16,[1]教育・解雇!$A$18:$IV$18,[1]教育・解雇!$A$20:$IV$20,[1]教育・解雇!$A$22:$IV$22,[1]教育・解雇!$A$24:$IV$24,[1]教育・解雇!$A$26:$IV$26,[1]教育・解雇!$A$28:$IV$28,[1]教育・解雇!$A$31:$IV$31,[1]教育・解雇!$A$33:$IV$33,[1]教育・解雇!$A$37:$IV$37,[1]教育・解雇!$A$44:$IV$44,[1]教育・解雇!$A$47:$IV$48,[1]教育・解雇!$A$59:$IV$59,[1]教育・解雇!$A$64:$IV$64,[1]教育・解雇!$A$67:$IV$67,[1]教育・解雇!$A$69:$IV$69,[1]教育・解雇!$A$71:$IV$71,[1]教育・解雇!$A$73:$IV$73,[1]教育・解雇!$A$75:$IV$75,[1]教育・解雇!$A$77:$IV$77,[1]教育・解雇!$A$79:$IV$79,[1]教育・解雇!$A$81:$IV$81,[1]教育・解雇!$A$84:$IV$84,[1]教育・解雇!$A$85:$IV$85,[1]教育・解雇!$A$87:$IV$87,[1]教育・解雇!$A$91:$IV$92,[1]教育・解雇!$A$94:$IV$94,[1]教育・解雇!$A$96:$IV$96,[1]教育・解雇!$A$104:$IV$104,[1]教育・解雇!$A$107:$IV$107,[1]教育・解雇!$A$111:$IV$111,[1]教育・解雇!$A$114:$IV$114,[1]教育・解雇!$A$116:$IV$116,[1]教育・解雇!$A$119:$IV$120,[1]教育・解雇!$A$122:$IV$122,[1]教育・解雇!$A$124:$IV$124,[1]教育・解雇!$A$128:$IV$128,[1]教育・解雇!$A$131:$IV$131,[1]教育・解雇!$A$133:$IV$133,[1]教育・解雇!$A$135:$IV$135,[1]教育・解雇!$A$137:$IV$137,[1]教育・解雇!$A$139:$IV$139,[1]教育・解雇!$A$141:$IV$141,[1]教育・解雇!$A$143:$IV$143,[1]教育・解雇!$A$147:$IV$149,[1]教育・解雇!$A$151:$IV$151,[1]教育・解雇!$A$153:$IV$153,[1]教育・解雇!$A$155:$IV$155,[1]教育・解雇!$A$157:$IV$157</definedName>
    <definedName name="JPROCESS_B">[2]教育・解雇!$A$2:$IV$2,[2]教育・解雇!$A$6:$IV$6,[2]教育・解雇!$A$8:$IV$8,[2]教育・解雇!$A$11:$IV$11,[2]教育・解雇!$A$14:$IV$14,[2]教育・解雇!$A$16:$IV$16,[2]教育・解雇!$A$18:$IV$18,[2]教育・解雇!$A$20:$IV$20,[2]教育・解雇!$A$22:$IV$22,[2]教育・解雇!$A$24:$IV$24,[2]教育・解雇!$A$26:$IV$26,[2]教育・解雇!$A$28:$IV$28,[2]教育・解雇!$A$31:$IV$31,[2]教育・解雇!$A$33:$IV$33,[2]教育・解雇!$A$37:$IV$37,[2]教育・解雇!$A$44:$IV$44,[2]教育・解雇!$A$47:$IV$48,[2]教育・解雇!$A$59:$IV$59,[2]教育・解雇!$A$64:$IV$64,[2]教育・解雇!$A$67:$IV$67,[2]教育・解雇!$A$69:$IV$69,[2]教育・解雇!$A$71:$IV$71,[2]教育・解雇!$A$73:$IV$73,[2]教育・解雇!$A$75:$IV$75,[2]教育・解雇!$A$77:$IV$77,[2]教育・解雇!$A$79:$IV$79,[2]教育・解雇!$A$81:$IV$81,[2]教育・解雇!$A$84:$IV$84,[2]教育・解雇!$A$85:$IV$85,[2]教育・解雇!$A$87:$IV$87,[2]教育・解雇!$A$91:$IV$92,[2]教育・解雇!$A$94:$IV$94,[2]教育・解雇!$A$96:$IV$96,[2]教育・解雇!$A$104:$IV$104,[2]教育・解雇!$A$107:$IV$107,[2]教育・解雇!$A$111:$IV$111,[2]教育・解雇!$A$114:$IV$114,[2]教育・解雇!$A$116:$IV$116,[2]教育・解雇!$A$119:$IV$120,[2]教育・解雇!$A$122:$IV$122,[2]教育・解雇!$A$124:$IV$124,[2]教育・解雇!$A$128:$IV$128,[2]教育・解雇!$A$131:$IV$131,[2]教育・解雇!$A$133:$IV$133,[2]教育・解雇!$A$135:$IV$135,[2]教育・解雇!$A$137:$IV$137,[2]教育・解雇!$A$139:$IV$139,[2]教育・解雇!$A$141:$IV$141,[2]教育・解雇!$A$143:$IV$143,[2]教育・解雇!$A$147:$IV$149,[2]教育・解雇!$A$151:$IV$151,[2]教育・解雇!$A$153:$IV$153,[2]教育・解雇!$A$155:$IV$155,[2]教育・解雇!$A$157:$IV$157</definedName>
    <definedName name="JPROCESS_B2" localSheetId="0">[1]教育・解雇!$A$159:$IV$159,[1]教育・解雇!$A$161:$IV$161,[1]教育・解雇!$A$163:$IV$163,[1]教育・解雇!$A$165:$IV$165,[1]教育・解雇!$A$168:$IV$169,[1]教育・解雇!$A$171:$IV$171,[1]教育・解雇!$A$173:$IV$173,[1]教育・解雇!$A$175:$IV$175,[1]教育・解雇!$A$177:$IV$177,[1]教育・解雇!$A$179:$IV$179,[1]教育・解雇!$A$182:$IV$182,[1]教育・解雇!$A$186:$IV$186,[1]教育・解雇!$A$189:$IV$189,[1]教育・解雇!$A$193:$IV$193,[1]教育・解雇!$A$196:$IV$196,[1]教育・解雇!$A$200:$IV$200</definedName>
    <definedName name="JPROCESS_B2">[2]教育・解雇!$A$159:$IV$159,[2]教育・解雇!$A$161:$IV$161,[2]教育・解雇!$A$163:$IV$163,[2]教育・解雇!$A$165:$IV$165,[2]教育・解雇!$A$168:$IV$169,[2]教育・解雇!$A$171:$IV$171,[2]教育・解雇!$A$173:$IV$173,[2]教育・解雇!$A$175:$IV$175,[2]教育・解雇!$A$177:$IV$177,[2]教育・解雇!$A$179:$IV$179,[2]教育・解雇!$A$182:$IV$182,[2]教育・解雇!$A$186:$IV$186,[2]教育・解雇!$A$189:$IV$189,[2]教育・解雇!$A$193:$IV$193,[2]教育・解雇!$A$196:$IV$196,[2]教育・解雇!$A$200:$IV$200</definedName>
    <definedName name="JPROCESS_C" localSheetId="0">[1]寮の使用規定!$A$2:$IV$2,[1]寮の使用規定!$A$5:$IV$5,[1]寮の使用規定!$A$7:$IV$7,[1]寮の使用規定!$A$10:$IV$10,[1]寮の使用規定!$A$13:$IV$13,[1]寮の使用規定!$A$16:$IV$16,[1]寮の使用規定!$A$18:$IV$19,[1]寮の使用規定!$A$22:$IV$22,[1]寮の使用規定!$A$24:$IV$24,[1]寮の使用規定!$A$27:$IV$27,[1]寮の使用規定!$A$29:$IV$29,[1]寮の使用規定!$A$32:$IV$32,[1]寮の使用規定!$A$34:$IV$34,[1]寮の使用規定!$A$37:$IV$37,[1]寮の使用規定!$A$39:$IV$39,[1]寮の使用規定!$A$42:$IV$42,[1]寮の使用規定!$A$44:$IV$44,[1]寮の使用規定!$A$47:$IV$47,[1]寮の使用規定!$A$49:$IV$49,[1]寮の使用規定!$A$52:$IV$52,[1]寮の使用規定!$A$54:$IV$54,[1]寮の使用規定!$A$57:$IV$57,[1]寮の使用規定!$A$59:$IV$59,[1]寮の使用規定!$A$63:$IV$63,[1]寮の使用規定!$A$65:$IV$65,[1]寮の使用規定!$A$67:$IV$67,[1]寮の使用規定!$A$70:$IV$70,[1]寮の使用規定!$A$72:$IV$72,[1]寮の使用規定!$A$75:$IV$75,[1]寮の使用規定!$A$77:$IV$77,[1]寮の使用規定!$A$80:$IV$80,[1]寮の使用規定!$A$82:$IV$82,[1]寮の使用規定!$A$84:$IV$84,[1]寮の使用規定!$A$87:$IV$87,[1]寮の使用規定!$A$92:$IV$94,[1]寮の使用規定!$A$97:$IV$97,[1]寮の使用規定!$A$103:$IV$103,[1]寮の使用規定!$A$102:$IV$102</definedName>
    <definedName name="JPROCESS_C">[2]寮の使用規定!$A$2:$IV$2,[2]寮の使用規定!$A$5:$IV$5,[2]寮の使用規定!$A$7:$IV$7,[2]寮の使用規定!$A$10:$IV$10,[2]寮の使用規定!$A$13:$IV$13,[2]寮の使用規定!$A$16:$IV$16,[2]寮の使用規定!$A$18:$IV$19,[2]寮の使用規定!$A$22:$IV$22,[2]寮の使用規定!$A$24:$IV$24,[2]寮の使用規定!$A$27:$IV$27,[2]寮の使用規定!$A$29:$IV$29,[2]寮の使用規定!$A$32:$IV$32,[2]寮の使用規定!$A$34:$IV$34,[2]寮の使用規定!$A$37:$IV$37,[2]寮の使用規定!$A$39:$IV$39,[2]寮の使用規定!$A$42:$IV$42,[2]寮の使用規定!$A$44:$IV$44,[2]寮の使用規定!$A$47:$IV$47,[2]寮の使用規定!$A$49:$IV$49,[2]寮の使用規定!$A$52:$IV$52,[2]寮の使用規定!$A$54:$IV$54,[2]寮の使用規定!$A$57:$IV$57,[2]寮の使用規定!$A$59:$IV$59,[2]寮の使用規定!$A$63:$IV$63,[2]寮の使用規定!$A$65:$IV$65,[2]寮の使用規定!$A$67:$IV$67,[2]寮の使用規定!$A$70:$IV$70,[2]寮の使用規定!$A$72:$IV$72,[2]寮の使用規定!$A$75:$IV$75,[2]寮の使用規定!$A$77:$IV$77,[2]寮の使用規定!$A$80:$IV$80,[2]寮の使用規定!$A$82:$IV$82,[2]寮の使用規定!$A$84:$IV$84,[2]寮の使用規定!$A$87:$IV$87,[2]寮の使用規定!$A$92:$IV$94,[2]寮の使用規定!$A$97:$IV$97,[2]寮の使用規定!$A$103:$IV$103,[2]寮の使用規定!$A$102:$IV$102</definedName>
    <definedName name="JPROCESS_D" localSheetId="0">[1]寮移動票!$A$6,[1]寮移動票!$AE$6,[1]寮移動票!$AR$5,[1]寮移動票!$A$9,[1]寮移動票!$N$8,[1]寮移動票!$AR$8,[1]寮移動票!$AE$9,[1]寮移動票!$A$11,[1]寮移動票!$R$13,[1]寮移動票!$AS$13,[1]寮移動票!$A$15:$IV$15,[1]寮移動票!$A$17:$IV$17,[1]寮移動票!$A$19:$IV$19,[1]寮移動票!$A$21:$IV$21,[1]寮移動票!$A$24:$IV$24,[1]寮移動票!$A$26:$IV$26,[1]寮移動票!$A$29:$IV$29,[1]寮移動票!$A$31:$IV$31,[1]寮移動票!$A$39:$IV$39,[1]寮移動票!$A$42:$IV$42,[1]寮移動票!$A$45:$IV$45,[1]寮移動票!$A$48:$IV$48,[1]寮移動票!$A$51:$IV$51,[1]寮移動票!$A$54:$IV$54,[1]寮移動票!$A$57:$IV$57,[1]寮移動票!$A$60:$IV$60,[1]寮移動票!$A$63:$IV$63,[1]寮移動票!$A$65:$IV$65,[1]寮移動票!$A$68:$IV$68,[1]寮移動票!$A$70:$IV$70,[1]寮移動票!$A$74:$B$74</definedName>
    <definedName name="JPROCESS_D">[2]寮移動票!$A$6,[2]寮移動票!$AE$6,[2]寮移動票!$AR$5,[2]寮移動票!$A$9,[2]寮移動票!$N$8,[2]寮移動票!$AR$8,[2]寮移動票!$AE$9,[2]寮移動票!$A$11,[2]寮移動票!$R$13,[2]寮移動票!$AS$13,[2]寮移動票!$A$15:$IV$15,[2]寮移動票!$A$17:$IV$17,[2]寮移動票!$A$19:$IV$19,[2]寮移動票!$A$21:$IV$21,[2]寮移動票!$A$24:$IV$24,[2]寮移動票!$A$26:$IV$26,[2]寮移動票!$A$29:$IV$29,[2]寮移動票!$A$31:$IV$31,[2]寮移動票!$A$39:$IV$39,[2]寮移動票!$A$42:$IV$42,[2]寮移動票!$A$45:$IV$45,[2]寮移動票!$A$48:$IV$48,[2]寮移動票!$A$51:$IV$51,[2]寮移動票!$A$54:$IV$54,[2]寮移動票!$A$57:$IV$57,[2]寮移動票!$A$60:$IV$60,[2]寮移動票!$A$63:$IV$63,[2]寮移動票!$A$65:$IV$65,[2]寮移動票!$A$68:$IV$68,[2]寮移動票!$A$70:$IV$70,[2]寮移動票!$A$74:$B$74</definedName>
    <definedName name="JPROCESS_E" localSheetId="0">[1]退職届!$A$4:$IV$4,[1]退職届!$A$7:$IV$7,[1]退職届!$A$9:$IV$9,[1]退職届!$A$11:$IV$11,[1]退職届!$A$17:$IV$17,[1]退職届!$A$21:$IV$21,[1]退職届!$A$24:$IV$24,[1]退職届!$A$27:$IV$27,[1]退職届!$A$30:$IV$30,[1]退職届!$A$37:$IV$38,[1]退職届!$A$41:$IV$41,[1]退職届!$A$45:$IV$46,[1]退職届!$A$52:$IV$52,[1]退職届!$B$54,[1]退職届!$B$56,[1]退職届!$B$58,[1]退職届!$B$60,[1]退職届!$B$62</definedName>
    <definedName name="JPROCESS_E">[2]退職届!$A$4:$IV$4,[2]退職届!$A$7:$IV$7,[2]退職届!$A$9:$IV$9,[2]退職届!$A$11:$IV$11,[2]退職届!$A$17:$IV$17,[2]退職届!$A$21:$IV$21,[2]退職届!$A$24:$IV$24,[2]退職届!$A$27:$IV$27,[2]退職届!$A$30:$IV$30,[2]退職届!$A$37:$IV$38,[2]退職届!$A$41:$IV$41,[2]退職届!$A$45:$IV$46,[2]退職届!$A$52:$IV$52,[2]退職届!$B$54,[2]退職届!$B$56,[2]退職届!$B$58,[2]退職届!$B$60,[2]退職届!$B$62</definedName>
    <definedName name="_xlnm.Print_Area" localSheetId="0">渡航費用説明同意書!$A$1:$N$33</definedName>
    <definedName name="Tシャツ">[3]制服貸与申請書!$BH$2:$BH$9</definedName>
    <definedName name="安全靴">[3]制服貸与申請書!$BJ$2:$BJ$17</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9" i="5" l="1"/>
  <c r="F11" i="5"/>
  <c r="D463" i="5"/>
  <c r="D462" i="5"/>
  <c r="D461" i="5"/>
  <c r="D460" i="5"/>
  <c r="D459" i="5"/>
  <c r="D458" i="5"/>
  <c r="D457" i="5"/>
  <c r="D456" i="5"/>
  <c r="D455" i="5"/>
  <c r="D454" i="5"/>
  <c r="D453" i="5"/>
  <c r="D452" i="5"/>
  <c r="D451" i="5"/>
  <c r="D450" i="5"/>
  <c r="D449" i="5"/>
  <c r="D448" i="5"/>
  <c r="D447" i="5"/>
  <c r="D446" i="5"/>
  <c r="D445" i="5"/>
  <c r="D444" i="5"/>
  <c r="D443" i="5"/>
  <c r="D442" i="5"/>
  <c r="D441" i="5"/>
  <c r="D440" i="5"/>
  <c r="D439" i="5"/>
  <c r="D438" i="5"/>
  <c r="D437" i="5"/>
  <c r="D436" i="5"/>
  <c r="D435" i="5"/>
  <c r="D434" i="5"/>
  <c r="D433" i="5"/>
  <c r="D432" i="5"/>
  <c r="D431" i="5"/>
  <c r="D430" i="5"/>
  <c r="D429" i="5"/>
  <c r="D428" i="5"/>
  <c r="D427" i="5"/>
  <c r="D426" i="5"/>
  <c r="D425" i="5"/>
  <c r="D424" i="5"/>
  <c r="D423" i="5"/>
  <c r="D422" i="5"/>
  <c r="D421" i="5"/>
  <c r="D420" i="5"/>
  <c r="D419" i="5"/>
  <c r="D418" i="5"/>
  <c r="D417" i="5"/>
  <c r="D416" i="5"/>
  <c r="D415" i="5"/>
  <c r="D414" i="5"/>
  <c r="D413" i="5"/>
  <c r="D412" i="5"/>
  <c r="D411" i="5"/>
  <c r="D410" i="5"/>
  <c r="D409" i="5"/>
  <c r="D408" i="5"/>
  <c r="D407" i="5"/>
  <c r="D406" i="5"/>
  <c r="D405" i="5"/>
  <c r="D404" i="5"/>
  <c r="D403" i="5"/>
  <c r="D402" i="5"/>
  <c r="D401" i="5"/>
  <c r="D400" i="5"/>
  <c r="D399" i="5"/>
  <c r="D398" i="5"/>
  <c r="D397" i="5"/>
  <c r="D396" i="5"/>
  <c r="D395" i="5"/>
  <c r="D394" i="5"/>
  <c r="D393" i="5"/>
  <c r="D392" i="5"/>
  <c r="D391" i="5"/>
  <c r="D390" i="5"/>
  <c r="D389" i="5"/>
  <c r="D388" i="5"/>
  <c r="D387" i="5"/>
  <c r="D386" i="5"/>
  <c r="D385" i="5"/>
  <c r="D384" i="5"/>
  <c r="D383" i="5"/>
  <c r="D382" i="5"/>
  <c r="D381" i="5"/>
  <c r="D380" i="5"/>
  <c r="D379" i="5"/>
  <c r="D378" i="5"/>
  <c r="D377" i="5"/>
  <c r="D376" i="5"/>
  <c r="D375" i="5"/>
  <c r="D374" i="5"/>
  <c r="D373" i="5"/>
  <c r="D372" i="5"/>
  <c r="D371" i="5"/>
  <c r="D370" i="5"/>
  <c r="D369" i="5"/>
  <c r="D368" i="5"/>
  <c r="D367" i="5"/>
  <c r="D366" i="5"/>
  <c r="D365" i="5"/>
  <c r="D364" i="5"/>
  <c r="D363" i="5"/>
  <c r="D362" i="5"/>
  <c r="D361" i="5"/>
  <c r="D360" i="5"/>
  <c r="D359" i="5"/>
  <c r="D358" i="5"/>
  <c r="D357" i="5"/>
  <c r="D356" i="5"/>
  <c r="D355" i="5"/>
  <c r="D354" i="5"/>
  <c r="D353" i="5"/>
  <c r="D352" i="5"/>
  <c r="D351" i="5"/>
  <c r="D350" i="5"/>
  <c r="D349" i="5"/>
  <c r="D348" i="5"/>
  <c r="D347" i="5"/>
  <c r="D346" i="5"/>
  <c r="D345" i="5"/>
  <c r="D344" i="5"/>
  <c r="D343" i="5"/>
  <c r="D342" i="5"/>
  <c r="D341" i="5"/>
  <c r="D340" i="5"/>
  <c r="D339" i="5"/>
  <c r="D338" i="5"/>
  <c r="D337" i="5"/>
  <c r="D336" i="5"/>
  <c r="D335" i="5"/>
  <c r="D334" i="5"/>
  <c r="D333" i="5"/>
  <c r="D332" i="5"/>
  <c r="D331" i="5"/>
  <c r="D330" i="5"/>
  <c r="D329" i="5"/>
  <c r="D328" i="5"/>
  <c r="D327" i="5"/>
  <c r="D326" i="5"/>
  <c r="D325" i="5"/>
  <c r="D324" i="5"/>
  <c r="D323" i="5"/>
  <c r="D322" i="5"/>
  <c r="D321" i="5"/>
  <c r="D320" i="5"/>
  <c r="D319" i="5"/>
  <c r="D318" i="5"/>
  <c r="D317" i="5"/>
  <c r="D316" i="5"/>
  <c r="D315" i="5"/>
  <c r="D314" i="5"/>
  <c r="D313" i="5"/>
  <c r="D312" i="5"/>
  <c r="D311" i="5"/>
  <c r="D310" i="5"/>
  <c r="D309" i="5"/>
  <c r="D308" i="5"/>
  <c r="D307" i="5"/>
  <c r="D306" i="5"/>
  <c r="D305" i="5"/>
  <c r="D304" i="5"/>
  <c r="D303" i="5"/>
  <c r="D302" i="5"/>
  <c r="D301" i="5"/>
  <c r="D300" i="5"/>
  <c r="D299" i="5"/>
  <c r="D298" i="5"/>
  <c r="D297" i="5"/>
  <c r="D296" i="5"/>
  <c r="D295" i="5"/>
  <c r="D294" i="5"/>
  <c r="D293" i="5"/>
  <c r="D292" i="5"/>
  <c r="D291" i="5"/>
  <c r="D290" i="5"/>
  <c r="D289" i="5"/>
  <c r="D288" i="5"/>
  <c r="D287" i="5"/>
  <c r="D286" i="5"/>
  <c r="D285" i="5"/>
  <c r="D284" i="5"/>
  <c r="D283" i="5"/>
  <c r="D282" i="5"/>
  <c r="D281" i="5"/>
  <c r="D280" i="5"/>
  <c r="D279" i="5"/>
  <c r="D278" i="5"/>
  <c r="D277" i="5"/>
  <c r="D276" i="5"/>
  <c r="D275" i="5"/>
  <c r="D274" i="5"/>
  <c r="D273" i="5"/>
  <c r="D272" i="5"/>
  <c r="D271" i="5"/>
  <c r="D270" i="5"/>
  <c r="D269" i="5"/>
  <c r="D268" i="5"/>
  <c r="D267" i="5"/>
  <c r="D266" i="5"/>
  <c r="D265" i="5"/>
  <c r="D264" i="5"/>
  <c r="D263" i="5"/>
  <c r="D262" i="5"/>
  <c r="D261" i="5"/>
  <c r="D260" i="5"/>
  <c r="D259" i="5"/>
  <c r="D258" i="5"/>
  <c r="D257" i="5"/>
  <c r="D256" i="5"/>
  <c r="D255" i="5"/>
  <c r="D254" i="5"/>
  <c r="D253" i="5"/>
  <c r="D252" i="5"/>
  <c r="D251" i="5"/>
  <c r="D250" i="5"/>
  <c r="D249" i="5"/>
  <c r="D248" i="5"/>
  <c r="D247" i="5"/>
  <c r="D246" i="5"/>
  <c r="D245" i="5"/>
  <c r="D244" i="5"/>
  <c r="D243" i="5"/>
  <c r="D242" i="5"/>
  <c r="D241" i="5"/>
  <c r="D240" i="5"/>
  <c r="D239" i="5"/>
  <c r="D238" i="5"/>
  <c r="D237" i="5"/>
  <c r="D236" i="5"/>
  <c r="D235" i="5"/>
  <c r="D234" i="5"/>
  <c r="D233" i="5"/>
  <c r="D232" i="5"/>
  <c r="D231" i="5"/>
  <c r="D230" i="5"/>
  <c r="D229" i="5"/>
  <c r="D228" i="5"/>
  <c r="D227" i="5"/>
  <c r="D226" i="5"/>
  <c r="D225" i="5"/>
  <c r="D224" i="5"/>
  <c r="D223" i="5"/>
  <c r="D222" i="5"/>
  <c r="D221" i="5"/>
  <c r="D220" i="5"/>
  <c r="D219" i="5"/>
  <c r="D218" i="5"/>
  <c r="D217" i="5"/>
  <c r="D216" i="5"/>
  <c r="D215" i="5"/>
  <c r="D214" i="5"/>
  <c r="D213" i="5"/>
  <c r="D212" i="5"/>
  <c r="D211" i="5"/>
  <c r="D210" i="5"/>
  <c r="D209" i="5"/>
  <c r="D208" i="5"/>
  <c r="D207" i="5"/>
  <c r="D206" i="5"/>
  <c r="D205" i="5"/>
  <c r="D204" i="5"/>
  <c r="D203" i="5"/>
  <c r="D202" i="5"/>
  <c r="D201" i="5"/>
  <c r="D200" i="5"/>
  <c r="D199" i="5"/>
  <c r="D198" i="5"/>
  <c r="D197" i="5"/>
  <c r="D196" i="5"/>
  <c r="D195" i="5"/>
  <c r="D194" i="5"/>
  <c r="D193" i="5"/>
  <c r="D192" i="5"/>
  <c r="D191" i="5"/>
  <c r="D190" i="5"/>
  <c r="D189" i="5"/>
  <c r="D188" i="5"/>
  <c r="D187" i="5"/>
  <c r="D186" i="5"/>
  <c r="D185" i="5"/>
  <c r="D184" i="5"/>
  <c r="D183" i="5"/>
  <c r="D182" i="5"/>
  <c r="D181" i="5"/>
  <c r="D180" i="5"/>
  <c r="D179" i="5"/>
  <c r="D178" i="5"/>
  <c r="D177" i="5"/>
  <c r="D176" i="5"/>
  <c r="D175" i="5"/>
  <c r="D174" i="5"/>
  <c r="D173" i="5"/>
  <c r="D172" i="5"/>
  <c r="D171" i="5"/>
  <c r="D170" i="5"/>
  <c r="D169" i="5"/>
  <c r="D168" i="5"/>
  <c r="D167" i="5"/>
  <c r="D166" i="5"/>
  <c r="D165" i="5"/>
  <c r="D164" i="5"/>
  <c r="D163" i="5"/>
  <c r="D162" i="5"/>
  <c r="D161" i="5"/>
  <c r="D160" i="5"/>
  <c r="D159" i="5"/>
  <c r="D158" i="5"/>
  <c r="D157" i="5"/>
  <c r="D156" i="5"/>
  <c r="D155" i="5"/>
  <c r="D154" i="5"/>
  <c r="D153" i="5"/>
  <c r="D152" i="5"/>
  <c r="D151" i="5"/>
  <c r="D150" i="5"/>
  <c r="D149" i="5"/>
  <c r="D148" i="5"/>
  <c r="D147" i="5"/>
  <c r="D146" i="5"/>
  <c r="D145" i="5"/>
  <c r="D144" i="5"/>
  <c r="D143" i="5"/>
  <c r="D142" i="5"/>
  <c r="D141" i="5"/>
  <c r="D140" i="5"/>
  <c r="D139" i="5"/>
  <c r="D138" i="5"/>
  <c r="D137" i="5"/>
  <c r="D136" i="5"/>
  <c r="D135" i="5"/>
  <c r="D134" i="5"/>
  <c r="D133" i="5"/>
  <c r="D132" i="5"/>
  <c r="D131" i="5"/>
  <c r="D130" i="5"/>
  <c r="D129" i="5"/>
  <c r="D128" i="5"/>
  <c r="D127" i="5"/>
  <c r="D126" i="5"/>
  <c r="D125" i="5"/>
  <c r="D124" i="5"/>
  <c r="D123" i="5"/>
  <c r="D122" i="5"/>
  <c r="D121" i="5"/>
  <c r="D120" i="5"/>
  <c r="D119" i="5"/>
  <c r="D118" i="5"/>
  <c r="D117" i="5"/>
  <c r="D116" i="5"/>
  <c r="D115" i="5"/>
  <c r="D114" i="5"/>
  <c r="D113" i="5"/>
  <c r="D112" i="5"/>
  <c r="D111" i="5"/>
  <c r="D110" i="5"/>
  <c r="D109" i="5"/>
  <c r="D108" i="5"/>
  <c r="D107" i="5"/>
  <c r="D106" i="5"/>
  <c r="D105" i="5"/>
  <c r="D104" i="5"/>
  <c r="D103" i="5"/>
  <c r="D102" i="5"/>
  <c r="D101" i="5"/>
  <c r="D100" i="5"/>
  <c r="D99" i="5"/>
  <c r="D98" i="5"/>
  <c r="D97" i="5"/>
  <c r="D96" i="5"/>
  <c r="D95" i="5"/>
  <c r="D94" i="5"/>
  <c r="D93" i="5"/>
  <c r="D92" i="5"/>
  <c r="D91" i="5"/>
  <c r="D90" i="5"/>
  <c r="D89" i="5"/>
  <c r="D88" i="5"/>
  <c r="D87" i="5"/>
  <c r="D86" i="5"/>
  <c r="D85" i="5"/>
  <c r="D84" i="5"/>
  <c r="D83" i="5"/>
  <c r="D82" i="5"/>
  <c r="D81" i="5"/>
  <c r="D80" i="5"/>
  <c r="D79" i="5"/>
  <c r="D78" i="5"/>
  <c r="D77" i="5"/>
  <c r="D76" i="5"/>
  <c r="D75" i="5"/>
  <c r="D74" i="5"/>
  <c r="D73" i="5"/>
  <c r="D72" i="5"/>
  <c r="D71" i="5"/>
  <c r="D70" i="5"/>
  <c r="D69" i="5"/>
  <c r="D68" i="5"/>
  <c r="D67" i="5"/>
  <c r="D66" i="5"/>
  <c r="D65" i="5"/>
  <c r="D64" i="5"/>
  <c r="D63" i="5"/>
  <c r="D62" i="5"/>
  <c r="D61" i="5"/>
  <c r="D60" i="5"/>
  <c r="D59" i="5"/>
  <c r="D58" i="5"/>
  <c r="D57" i="5"/>
  <c r="D56" i="5"/>
  <c r="D55" i="5"/>
  <c r="D54" i="5"/>
  <c r="D53" i="5"/>
  <c r="D52" i="5"/>
  <c r="D51" i="5"/>
  <c r="D50" i="5"/>
  <c r="D49" i="5"/>
  <c r="D48" i="5"/>
  <c r="D47" i="5"/>
  <c r="D46" i="5"/>
  <c r="D45" i="5"/>
  <c r="D44" i="5"/>
  <c r="D43" i="5"/>
  <c r="D42" i="5"/>
  <c r="F17" i="5" l="1"/>
</calcChain>
</file>

<file path=xl/sharedStrings.xml><?xml version="1.0" encoding="utf-8"?>
<sst xmlns="http://schemas.openxmlformats.org/spreadsheetml/2006/main" count="892" uniqueCount="878">
  <si>
    <t>Field.P_Name</t>
  </si>
  <si>
    <t>Field.P_Alias</t>
    <phoneticPr fontId="8"/>
  </si>
  <si>
    <t>{{応募者（レジュメ）ID}}</t>
  </si>
  <si>
    <t>Resume.P_Id</t>
    <phoneticPr fontId="8"/>
  </si>
  <si>
    <t>{{応募者登録担当}}</t>
  </si>
  <si>
    <t>Resume.P_Owner</t>
  </si>
  <si>
    <t>{{氏名(G)}}</t>
  </si>
  <si>
    <t>Resume.P_Name</t>
  </si>
  <si>
    <t>{{応募者フェーズ(G)}}</t>
  </si>
  <si>
    <t>Resume.P_Phase</t>
  </si>
  <si>
    <t>{{応募者フェーズ日付}}</t>
  </si>
  <si>
    <t>Resume.P_PhaseDate</t>
  </si>
  <si>
    <t>{{応募者フェーズメモ}}</t>
  </si>
  <si>
    <t>Resume.P_PhaseMemo</t>
  </si>
  <si>
    <t>{{卒業・中退年月}}</t>
  </si>
  <si>
    <t>Resume.P_Education</t>
  </si>
  <si>
    <t>{{経験職種}}</t>
  </si>
  <si>
    <t>Resume.P_ExperiencedJobCategory</t>
  </si>
  <si>
    <t>{{現在の状況}}</t>
  </si>
  <si>
    <t>Resume.P_CurrentStatus</t>
  </si>
  <si>
    <t>{{✖：現在の年収[万円]}}</t>
  </si>
  <si>
    <t>Resume.P_CurrentSalary</t>
  </si>
  <si>
    <t>{{希望の年収[万円]}}</t>
  </si>
  <si>
    <t>Resume.P_ExpectSalary</t>
  </si>
  <si>
    <t>{{希望の職種}}</t>
  </si>
  <si>
    <t>Resume.P_ExpectJobCategory</t>
  </si>
  <si>
    <t>{{希望の雇用形態（L）}}</t>
  </si>
  <si>
    <t>Resume.P_ExpectEmploymentType</t>
  </si>
  <si>
    <t>{{希望勤務地(市区町村)}}</t>
  </si>
  <si>
    <t>Resume.P_ExpectArea</t>
  </si>
  <si>
    <t>{{希望の給与(詳細)}}</t>
  </si>
  <si>
    <t>Resume.P_ExpectCondition</t>
  </si>
  <si>
    <t>{{エントリー経路}}</t>
  </si>
  <si>
    <t>Resume.P_RegisterChannel</t>
  </si>
  <si>
    <t>{{データ登録日}}</t>
  </si>
  <si>
    <t>Resume.P_RegistrationDate</t>
  </si>
  <si>
    <t>{{データ登録者}}</t>
  </si>
  <si>
    <t>Resume.P_RegisteredBy</t>
  </si>
  <si>
    <t>{{データ更新日}}</t>
  </si>
  <si>
    <t>Resume.P_UpdateDate</t>
  </si>
  <si>
    <t>{{データ更新者}}</t>
  </si>
  <si>
    <t>Resume.P_UpdatedBy</t>
  </si>
  <si>
    <t>{{✖：現在の時給[円]}}</t>
  </si>
  <si>
    <t>Resume.P_HourlyRate</t>
  </si>
  <si>
    <t>{{希望の時給[円]}}</t>
  </si>
  <si>
    <t>Resume.P_DesiredHourlyRate</t>
  </si>
  <si>
    <t>{{年齢(生年月日)(G)}}</t>
  </si>
  <si>
    <t>Resume.P_DateOfBirth</t>
  </si>
  <si>
    <t>{{性別(G)}}</t>
  </si>
  <si>
    <t>Resume.P_Gender</t>
  </si>
  <si>
    <t>{{緯度}}</t>
  </si>
  <si>
    <t>Resume.P_PkmGeoLat</t>
  </si>
  <si>
    <t>{{経度}}</t>
  </si>
  <si>
    <t>Resume.P_PkmGeoLon</t>
  </si>
  <si>
    <t>{{住所}}</t>
  </si>
  <si>
    <t>Resume.P_PkmAddress</t>
  </si>
  <si>
    <t>{{最寄駅}}</t>
  </si>
  <si>
    <t>Resume.P_PkmNearestStation</t>
  </si>
  <si>
    <t>{{学歴区分}}</t>
  </si>
  <si>
    <t>Resume.U_220238CFB049EBC7AE905C65F87A28</t>
  </si>
  <si>
    <t>{{卒業状況}}</t>
  </si>
  <si>
    <t>Resume.U_E182D9B71AE22AD4FF1D0A01DE456F</t>
  </si>
  <si>
    <t>{{PCスキル}}</t>
  </si>
  <si>
    <t>Resume.U_4170473D23B0D8C9F5BFB8CD22493F</t>
  </si>
  <si>
    <t>{{勤務開始可能日}}</t>
  </si>
  <si>
    <t>Resume.U_0B8655796CC968A0FE5072FAC34F90</t>
  </si>
  <si>
    <t>{{✖：連絡方法に関する希望}}</t>
  </si>
  <si>
    <t>Resume.U_C8E3A2E4179AC8537286FD927BAEC0</t>
  </si>
  <si>
    <t>{{エントリー時の付加情報}}</t>
  </si>
  <si>
    <t>Resume.U_2DB2AA49AC20588111F2EB1C3640C8</t>
  </si>
  <si>
    <t>{{写真}}</t>
  </si>
  <si>
    <t>Resume.U_E08D3C86CE78CA27612053EA772453</t>
  </si>
  <si>
    <t>{{扶養控除枠}}</t>
  </si>
  <si>
    <t>Resume.U_A44C233FFF7C37CAF54A21099DFE89</t>
  </si>
  <si>
    <t>{{現在の年収(詳細)}}</t>
  </si>
  <si>
    <t>Resume.U_ADDAD22BEF29217E2471F59E5E2DA8</t>
  </si>
  <si>
    <t>{{備考（スキルシート）}}</t>
  </si>
  <si>
    <t>Resume.U_F13ADF903E302FF618E39D7224E1F3</t>
  </si>
  <si>
    <t>{{応募者コード(基幹システム)}}</t>
  </si>
  <si>
    <t>Resume.U_2488D51EEDF07AEE7C253CC2EC22DB</t>
  </si>
  <si>
    <t>{{✖：⚠️普通自動車免許（2024年5月28日～引っ越し）}}</t>
  </si>
  <si>
    <t>Resume.U_9F3228650AC924AA02766C4476C63F</t>
  </si>
  <si>
    <t>{{希望の休日曜日}}</t>
  </si>
  <si>
    <t>Resume.U_58CABC7C23AC9DA484F90A2C484BF4</t>
  </si>
  <si>
    <t>{{派遣元雇用区分(G)}}</t>
  </si>
  <si>
    <t>Resume.U_889C1BFE70FB88A573B5DE0C5CDC56</t>
  </si>
  <si>
    <t>{{派遣元無期雇用開始日}}</t>
  </si>
  <si>
    <t>Resume.U_B5363F8559A369644CB199FE67EA7C</t>
  </si>
  <si>
    <t>{{保有資格}}</t>
  </si>
  <si>
    <t>Resume.U_2B6FB5BA7986FB12329B2A0887C7AF</t>
  </si>
  <si>
    <t>{{🚫IMEXStaffingId}}</t>
  </si>
  <si>
    <t>Resume.A_IMEXStaffingId</t>
  </si>
  <si>
    <t>{{🚫IMEXAgencyId}}</t>
  </si>
  <si>
    <t>Resume.A_IMEXAgencyId</t>
  </si>
  <si>
    <t>{{✖：教育訓練の実施日}}</t>
  </si>
  <si>
    <t>Resume.U_C2A729668D42D72CD1ACF00C2B2043</t>
  </si>
  <si>
    <t>{{✖：教育訓練の区分}}</t>
  </si>
  <si>
    <t>Resume.U_AF892D9458FF36FDDA464536B60D64</t>
  </si>
  <si>
    <t>{{✖：教育訓練の実施時間[h]}}</t>
  </si>
  <si>
    <t>Resume.U_6D0FEEDE951FC43268D28A3A9C9AAE</t>
  </si>
  <si>
    <t>{{✖：教育訓練の詳細}}</t>
  </si>
  <si>
    <t>Resume.U_2AE68675B9C10BFD01066C324D182D</t>
  </si>
  <si>
    <t>{{✖：教育訓練の実施日 1.1}}</t>
  </si>
  <si>
    <t>Resume.U_F77473068BD149D6C1ABFC5E6FEB47</t>
  </si>
  <si>
    <t>{{✖：教育訓練の実施日 1.2}}</t>
  </si>
  <si>
    <t>Resume.U_50A990875818B46254CB00D67DB883</t>
  </si>
  <si>
    <t>{{✖：教育訓練の実施日 2.1}}</t>
  </si>
  <si>
    <t>Resume.U_2CDADC38A0B5379464A635E852276E</t>
  </si>
  <si>
    <t>{{✖：教育訓練の実施日 2.2}}</t>
  </si>
  <si>
    <t>Resume.U_7C492D7C024A8D4DD099A3C9A718E0</t>
  </si>
  <si>
    <t>{{✖：教育訓練の実施日 3.1}}</t>
  </si>
  <si>
    <t>Resume.U_55F85C7A3647901807895138EBEFD4</t>
  </si>
  <si>
    <t>{{✖：教育訓練の実施日 3.2}}</t>
  </si>
  <si>
    <t>Resume.U_1386DB6F9F1EEDF6AD5A0558DD293F</t>
  </si>
  <si>
    <t>{{✖：教育訓練の区分 1.1}}</t>
  </si>
  <si>
    <t>Resume.U_C64D14DF26C763003AE2C00E21A837</t>
  </si>
  <si>
    <t>{{✖：教育訓練の区分 1.2}}</t>
  </si>
  <si>
    <t>Resume.U_069CB4F727A90BEF3F08D29E3D69DB</t>
  </si>
  <si>
    <t>{{✖：教育訓練の区分 2.1}}</t>
  </si>
  <si>
    <t>Resume.U_FFD80CEB13A74F1C38DC4C248A0B5C</t>
  </si>
  <si>
    <t>{{✖：教育訓練の区分 2.2}}</t>
  </si>
  <si>
    <t>Resume.U_1D2F4A14E51998EA3928407E6860DA</t>
  </si>
  <si>
    <t>{{✖：教育訓練の区分 3.1}}</t>
  </si>
  <si>
    <t>Resume.U_68C8E902A37388C58926CA1FAA6386</t>
  </si>
  <si>
    <t>{{✖：教育訓練の区分 3.2}}</t>
  </si>
  <si>
    <t>Resume.U_C2B068A8429DC7C83A8597C1D211DB</t>
  </si>
  <si>
    <t>{{✖：教育訓練の時間[h] 1.1}}</t>
  </si>
  <si>
    <t>Resume.U_D497F0E14CA71B6187264C717B63D2</t>
  </si>
  <si>
    <t>{{✖：教育訓練の時間[h] 1.2}}</t>
  </si>
  <si>
    <t>Resume.U_B9F6A74B51367D05523A3D00C25278</t>
  </si>
  <si>
    <t>{{✖：教育訓練の時間[h] 2.1}}</t>
  </si>
  <si>
    <t>Resume.U_85406722941AD84A7733D4923FCF75</t>
  </si>
  <si>
    <t>{{✖：教育訓練の時間[h] 2.2}}</t>
  </si>
  <si>
    <t>Resume.U_74A38FA20C411D0D0EC045E9A3649E</t>
  </si>
  <si>
    <t>{{✖：教育訓練の時間[h] 3.1}}</t>
  </si>
  <si>
    <t>Resume.U_7FB4936763C0D664F23E515498D1A1</t>
  </si>
  <si>
    <t>{{✖：教育訓練の時間[h] 3.2}}</t>
  </si>
  <si>
    <t>Resume.U_79644D516724E44AB22394604D6FC6</t>
  </si>
  <si>
    <t>{{✖：教育訓練の詳細 1.1}}</t>
  </si>
  <si>
    <t>Resume.U_D513D91C024C703256838DDA0DF521</t>
  </si>
  <si>
    <t>{{✖：教育訓練の詳細 1.2}}</t>
  </si>
  <si>
    <t>Resume.U_2615B58F4B7A06A178EA263055EB57</t>
  </si>
  <si>
    <t>{{✖：教育訓練の詳細 2.1}}</t>
  </si>
  <si>
    <t>Resume.U_E1008876EC55D19A1133EEB0B16648</t>
  </si>
  <si>
    <t>{{✖：教育訓練の詳細 2.2}}</t>
  </si>
  <si>
    <t>Resume.U_DE0FF4D18342794A95E871E839B9D6</t>
  </si>
  <si>
    <t>{{✖：教育訓練の詳細 3.1}}</t>
  </si>
  <si>
    <t>Resume.U_698CF9025796491DFAF70EC3A79FA2</t>
  </si>
  <si>
    <t>{{✖：教育訓練の詳細 3.2}}</t>
  </si>
  <si>
    <t>Resume.U_5A3E2D1FABE29F6F69B734E688B78E</t>
  </si>
  <si>
    <t>{{✖：教育訓練の詳細 4}}</t>
  </si>
  <si>
    <t>Resume.U_3C3207B8EF26D32E51B5CC564A7120</t>
  </si>
  <si>
    <t>{{連携フラグ(基幹システム)}}</t>
  </si>
  <si>
    <t>Resume.U_11AF8B1167AFD5B5BC5A077533522A</t>
  </si>
  <si>
    <t>{{担当部署・営業所【応募者レジュメ】}}</t>
  </si>
  <si>
    <t>Resume.U_A524289DE7DCC1366C95D5E9D52C10</t>
  </si>
  <si>
    <t>{{前職「村田製作所」}}</t>
  </si>
  <si>
    <t>Resume.U_E0B548B2492DE7057125183C099DDB</t>
  </si>
  <si>
    <t>{{ローマ字}}</t>
  </si>
  <si>
    <t>Resume.U_B39F940CF5321D491A837364E3BC95</t>
  </si>
  <si>
    <t>{{ローマ字読み}}</t>
  </si>
  <si>
    <t>Resume.U_FC72FCBA2CFD318880DB7CABF5C188</t>
  </si>
  <si>
    <t>{{国籍}}</t>
  </si>
  <si>
    <t>Resume.U_6184B5CC17CF510A92B30827310A7F</t>
  </si>
  <si>
    <t>{{国籍「その他」}}</t>
  </si>
  <si>
    <t>Resume.U_A2CA738C78F84C55C6FDAF408F22D0</t>
  </si>
  <si>
    <t>{{世代}}</t>
  </si>
  <si>
    <t>Resume.U_B7F58B07DBB38C544288FC3BC799B3</t>
  </si>
  <si>
    <t>{{保有資格（その他）}}</t>
  </si>
  <si>
    <t>Resume.U_98196497A1D0746BCB2BAE17051EBC</t>
  </si>
  <si>
    <t>{{希望通勤手段}}</t>
  </si>
  <si>
    <t>Resume.U_0F4197EE9EBB3A5EE778C477DFF723</t>
  </si>
  <si>
    <t>{{日本語会話力}}</t>
  </si>
  <si>
    <t>Resume.U_FFCE2762835B4460C367BFDADDC1D8</t>
  </si>
  <si>
    <t>{{日本語理解力}}</t>
  </si>
  <si>
    <t>Resume.U_DAB31557C0C95C5164E3A105EE8DCC</t>
  </si>
  <si>
    <t>{{日本語 読み}}</t>
  </si>
  <si>
    <t>Resume.U_9694299F47FD832DBE7931FBB7BF14</t>
  </si>
  <si>
    <t>{{日本語 書き}}</t>
  </si>
  <si>
    <t>Resume.U_A0A84D3A077C23EB25B6CB246DA55B</t>
  </si>
  <si>
    <t>{{日本語能力試験}}</t>
  </si>
  <si>
    <t>Resume.U_46692D4532645E4C6EBBB4B5C81F89</t>
  </si>
  <si>
    <t>{{日本での学歴}}</t>
  </si>
  <si>
    <t>Resume.U_1DA581D1F624208B2DE65D9F8F2D08</t>
  </si>
  <si>
    <t>{{学校名}}</t>
  </si>
  <si>
    <t>Resume.U_81E2DC751CAEE6D048EA4DC80B9027</t>
  </si>
  <si>
    <t>{{身長（cm）}}</t>
  </si>
  <si>
    <t>Resume.U_ED1F8BFD60F10FB56712848858CE44</t>
  </si>
  <si>
    <t>{{体重（Kg）}}</t>
  </si>
  <si>
    <t>Resume.U_1ADA201363DEEFF924C6AB0BDC432E</t>
  </si>
  <si>
    <t>{{Tamanho do sapato／靴サイズ}}</t>
  </si>
  <si>
    <t>Resume.U_F056B24D61F6A1CE0517CCC4012786</t>
  </si>
  <si>
    <t>{{Medida da cintura／ウェストサイズ}}</t>
  </si>
  <si>
    <t>Resume.U_8DD6FD27B0CD5290258C0053E795E7</t>
  </si>
  <si>
    <t>{{制服サイズ（上）}}</t>
  </si>
  <si>
    <t>Resume.U_B21DE67FBF92D76180643619FCA388</t>
  </si>
  <si>
    <t>{{Escreve com a mão／利き手}}</t>
  </si>
  <si>
    <t>Resume.U_AFD31F0C9A570C38DE0BEFD06DB98B</t>
  </si>
  <si>
    <t>{{✖：血液型}}</t>
  </si>
  <si>
    <t>Resume.U_DF9796617F364D0AD0D872E547939C</t>
  </si>
  <si>
    <t>{{✖：血液型（Rh）}}</t>
  </si>
  <si>
    <t>Resume.U_03CCBCAFCA34A16EBBAA02E53CFDDD</t>
  </si>
  <si>
    <t>{{視力矯正}}</t>
  </si>
  <si>
    <t>Resume.U_680F1467E82288BA5DADEBD1D5CEE4</t>
  </si>
  <si>
    <t>{{✖：帽子サイズ}}</t>
  </si>
  <si>
    <t>Resume.U_0DFE04A2CE3E163C8BE3EBE94B469D</t>
  </si>
  <si>
    <t>{{視力（右）}}</t>
  </si>
  <si>
    <t>Resume.U_B572FF383AFF6E8AD8C77131DB1FBE</t>
  </si>
  <si>
    <t>{{視力（左）}}</t>
  </si>
  <si>
    <t>Resume.U_492B2EF41B4475F9E7315234DE05A4</t>
  </si>
  <si>
    <t>{{現在治療中の病歴}}</t>
  </si>
  <si>
    <t>Resume.U_8DB8885C4AC67B9FB259A4D0F35C84</t>
  </si>
  <si>
    <t>{{正社員雇用の希望}}</t>
  </si>
  <si>
    <t>Resume.U_056AA3540E2E63A86C6CD4034E318F</t>
  </si>
  <si>
    <t>{{キャリアコンサルティングの希望}}</t>
  </si>
  <si>
    <t>Resume.U_D71ED401C4F36F8DCC4C9242EB68BC</t>
  </si>
  <si>
    <t>{{雇用形態【職歴1】}}</t>
  </si>
  <si>
    <t>Resume.U_0758173FE4785C80C8FB9A16D3D969</t>
  </si>
  <si>
    <t>{{派遣会社名【職歴1】}}</t>
  </si>
  <si>
    <t>Resume.U_BB56591FA1772C634AA64C9458C4B3</t>
  </si>
  <si>
    <t>{{会社名【職歴1】}}</t>
  </si>
  <si>
    <t>Resume.U_2E209032B2B047F642F4CC2A12A368</t>
  </si>
  <si>
    <t>{{入社年月【職歴1】}}</t>
  </si>
  <si>
    <t>Resume.U_3C61F4B0199A059B303D6D8F326723</t>
  </si>
  <si>
    <t>{{退社年月【職歴1】}}</t>
  </si>
  <si>
    <t>Resume.U_5DE081668DE535CA8DFF9D7FE267AA</t>
  </si>
  <si>
    <t>{{業務内容【職歴1】}}</t>
  </si>
  <si>
    <t>Resume.U_6B970DDC273307DB66EEA0CC788429</t>
  </si>
  <si>
    <t>{{✖：△退職理由【職歴1】（テキスト→選択肢へ予定）}}</t>
  </si>
  <si>
    <t>Resume.U_AAA241D5BF458BEFABEF9BDA57F0FE</t>
  </si>
  <si>
    <t>{{退職理由詳細【職歴1】}}</t>
  </si>
  <si>
    <t>Resume.U_9638103DED696CDC0E2CF573D37411</t>
  </si>
  <si>
    <t>{{雇用形態【職歴2】}}</t>
  </si>
  <si>
    <t>Resume.U_95497BD59908CFD6D23D543BDCE913</t>
  </si>
  <si>
    <t>{{雇用形態【職歴3】}}</t>
  </si>
  <si>
    <t>Resume.U_E4119444746765259DA89ECFF516C9</t>
  </si>
  <si>
    <t>{{雇用形態【職歴4】}}</t>
  </si>
  <si>
    <t>Resume.U_B4D8CBF0CACD8C1B1C844274D8CD68</t>
  </si>
  <si>
    <t>{{雇用形態【職歴5】}}</t>
  </si>
  <si>
    <t>Resume.U_52C228A91B1A13AF1CC5B7335AB829</t>
  </si>
  <si>
    <t>{{派遣会社名【職歴2】}}</t>
  </si>
  <si>
    <t>Resume.U_90BBED246839274A53FE4A43080170</t>
  </si>
  <si>
    <t>{{派遣会社名【職歴3】}}</t>
  </si>
  <si>
    <t>Resume.U_92959F0D39F7DB77F1ECCB3CD9ED80</t>
  </si>
  <si>
    <t>{{派遣会社名【職歴4】}}</t>
  </si>
  <si>
    <t>Resume.U_5CBDFAC2F2D3F999BE6FEC5314D1C4</t>
  </si>
  <si>
    <t>{{派遣会社名【職歴5】}}</t>
  </si>
  <si>
    <t>Resume.U_2EE06B4468203DEC5827695A4655B5</t>
  </si>
  <si>
    <t>{{会社名【職歴2】}}</t>
  </si>
  <si>
    <t>Resume.U_22AD9FBF1EB3BABA9DBEE859B911CB</t>
  </si>
  <si>
    <t>{{会社名【職歴3】}}</t>
  </si>
  <si>
    <t>Resume.U_C8670E3E88E01CC14C042D81DBF1C3</t>
  </si>
  <si>
    <t>{{会社名【職歴4】}}</t>
  </si>
  <si>
    <t>Resume.U_DB05D1231332338C29AFE5F4CD7A60</t>
  </si>
  <si>
    <t>{{会社名【職歴5】}}</t>
  </si>
  <si>
    <t>Resume.U_C6B2C7F7640383169055B727E60002</t>
  </si>
  <si>
    <t>{{入社年月【職歴2】}}</t>
  </si>
  <si>
    <t>Resume.U_C03490389B6F17E58332565A46F110</t>
  </si>
  <si>
    <t>{{入社年月【職歴3】}}</t>
  </si>
  <si>
    <t>Resume.U_5D6EDBBA7C9EEB0218C87195EF20BC</t>
  </si>
  <si>
    <t>{{入社年月【職歴4】}}</t>
  </si>
  <si>
    <t>Resume.U_E62DBD659FE16EFB0BA726C5996685</t>
  </si>
  <si>
    <t>{{入社年月【職歴5】}}</t>
  </si>
  <si>
    <t>Resume.U_89478FD8BD5060D9FAC4608288C970</t>
  </si>
  <si>
    <t>{{退社年月【職歴2】}}</t>
  </si>
  <si>
    <t>Resume.U_C841C1B674BD7DE6A155F20523BA13</t>
  </si>
  <si>
    <t>{{退社年月【職歴3】}}</t>
  </si>
  <si>
    <t>Resume.U_239B80495E6A893289D850615AC661</t>
  </si>
  <si>
    <t>{{退社年月【職歴4】}}</t>
  </si>
  <si>
    <t>Resume.U_A4D369654A1F72295EF84A54623307</t>
  </si>
  <si>
    <t>{{退社年月【職歴5】}}</t>
  </si>
  <si>
    <t>Resume.U_DCDF462A2027BBDE1C37B72E54F1FE</t>
  </si>
  <si>
    <t>{{業務内容【職歴2】}}</t>
  </si>
  <si>
    <t>Resume.U_7E98BB8C7D15B798D644449AC94FE1</t>
  </si>
  <si>
    <t>{{業務内容【職歴3】}}</t>
  </si>
  <si>
    <t>Resume.U_28F5185C29A8B4B8A0ACD3B3FEFEDF</t>
  </si>
  <si>
    <t>{{業務内容【職歴4】}}</t>
  </si>
  <si>
    <t>Resume.U_97350A0572F48B0E8D3E645E36058D</t>
  </si>
  <si>
    <t>{{業務内容【職歴5】}}</t>
  </si>
  <si>
    <t>Resume.U_003098C96B9821EB7A54101830A61E</t>
  </si>
  <si>
    <t>{{✖：△退職理由【職歴2】（テキスト→選択肢へ予定）}}</t>
  </si>
  <si>
    <t>Resume.U_4B120EF8056F3DDFD81E046820EB4F</t>
  </si>
  <si>
    <t>{{✖：△退職理由【職歴3】（テキスト→選択肢へ予定）}}</t>
  </si>
  <si>
    <t>Resume.U_235B153C9D60044F9CBBAC79E9851B</t>
  </si>
  <si>
    <t>{{✖：△退職理由【職歴4】（テキスト→選択肢へ予定）}}</t>
  </si>
  <si>
    <t>Resume.U_5D7D89864BEDB9A9A540C13465EF47</t>
  </si>
  <si>
    <t>{{✖：△退職理由【職歴5】（テキスト→選択肢へ予定）}}</t>
  </si>
  <si>
    <t>Resume.U_B4018DB4930B2787E36C9EFE3ECBD1</t>
  </si>
  <si>
    <t>{{退職理由詳細【職歴2】}}</t>
  </si>
  <si>
    <t>Resume.U_91D2CA15FC248A2DE5CB5CA3E8497B</t>
  </si>
  <si>
    <t>{{退職理由詳細【職歴3】}}</t>
  </si>
  <si>
    <t>Resume.U_0593A6B1F9874FFEEA85DEC160C4A5</t>
  </si>
  <si>
    <t>{{退職理由詳細【職歴4】}}</t>
  </si>
  <si>
    <t>Resume.U_EE513D40E5529C7CE3E1416E555C37</t>
  </si>
  <si>
    <t>{{退職理由詳細【職歴5】}}</t>
  </si>
  <si>
    <t>Resume.U_46AFCD2CA39CBBB2F2074F0B48CE50</t>
  </si>
  <si>
    <t>{{希望勤務地（都道府県）}}</t>
  </si>
  <si>
    <t>Resume.U_0CC6608B4E1A773A52379725397C6A</t>
  </si>
  <si>
    <t>{{残業可否}}</t>
  </si>
  <si>
    <t>Resume.U_B65D116A1C36CAC2E745842B7441D2</t>
  </si>
  <si>
    <t>{{希望の通勤時間[分以内]}}</t>
  </si>
  <si>
    <t>Resume.U_70C0534464ED318680109AE19C9D98</t>
  </si>
  <si>
    <t>{{エントリー経路（その他）}}</t>
  </si>
  <si>
    <t>Resume.U_6CFE85F4BDCC2DAF5090C9EB1B0327</t>
  </si>
  <si>
    <t>{{制服サイズ（下）}}</t>
  </si>
  <si>
    <t>Resume.U_E33DD320751BCBB0FF69FAE6E62672</t>
  </si>
  <si>
    <t>{{車の所有}}</t>
  </si>
  <si>
    <t>Resume.U_E46B6A526E7B38B954463EC50AB9B8</t>
  </si>
  <si>
    <t>{{スカウトメールの希望}}</t>
  </si>
  <si>
    <t>Resume.U_3AC5513039A443F692B7627AB9470E</t>
  </si>
  <si>
    <t>{{刺青・タトゥー位置（その他）}}</t>
  </si>
  <si>
    <t>Resume.U_D6A74C2905CDBCF2BC38EE87397003</t>
  </si>
  <si>
    <t>{{病気の現状}}</t>
  </si>
  <si>
    <t>Resume.U_7B0EBBE42645642DD1353EB6B1255C</t>
  </si>
  <si>
    <t>{{希望職種（その他）}}</t>
  </si>
  <si>
    <t>Resume.U_2ECDD35EEC2D1484A7C892DFEA8728</t>
  </si>
  <si>
    <t>{{希望勤務形態（その他）}}</t>
  </si>
  <si>
    <t>Resume.U_E8F57AFD1D351897870B1DE5AED0C6</t>
  </si>
  <si>
    <t>{{残業可否（その他条件）}}</t>
  </si>
  <si>
    <t>Resume.U_E2DC3E8F3B1C64FF8002990ED43695</t>
  </si>
  <si>
    <t>{{休日出勤}}</t>
  </si>
  <si>
    <t>Resume.U_1A6123687EC0816BC6B863ACE68F5E</t>
  </si>
  <si>
    <t>{{応募があった求人ID}}</t>
  </si>
  <si>
    <t>Resume.U_CBCEB79411F1FBC42F36237098B120</t>
  </si>
  <si>
    <t>{{旅行社}}</t>
  </si>
  <si>
    <t>Resume.U_7628E4A1D55D9BADFC3D1B4DD3442F</t>
  </si>
  <si>
    <t>{{採用可否}}</t>
  </si>
  <si>
    <t>Resume.U_6AC57AA38BDC26548B63A4A72201DB</t>
  </si>
  <si>
    <t>{{ビザ発行予定日}}</t>
  </si>
  <si>
    <t>Resume.U_094DF9FD6FD5619D28E083F2BCBA07</t>
  </si>
  <si>
    <t>{{渡航費有無}}</t>
  </si>
  <si>
    <t>Resume.U_4470B325E4F1CBBB7111F565BE6D5E</t>
  </si>
  <si>
    <t>{{訪問予定日}}</t>
  </si>
  <si>
    <t>Resume.U_D682AF6732717F073BD5EFADE538F9</t>
  </si>
  <si>
    <t>{{配属先（予定）}}</t>
  </si>
  <si>
    <t>Resume.U_FFC9C4814DD70DB90D380F92B78824</t>
  </si>
  <si>
    <t>{{渡航費金額(円）}}</t>
  </si>
  <si>
    <t>Resume.U_859C2192B958924649EEF5C32CD96B</t>
  </si>
  <si>
    <t>{{希望勤務形態}}</t>
  </si>
  <si>
    <t>Resume.U_983962A6A037FEC379CEBECF159741</t>
  </si>
  <si>
    <t>{{✖旧ー紹介不可理由（2024年8月23日～引っ越し済み）}}</t>
  </si>
  <si>
    <t>Resume.U_EE3DBF7B3E826E4F34DB5772289CE1</t>
  </si>
  <si>
    <t>{{ID（RPM）}}</t>
  </si>
  <si>
    <t>Resume.U_4398E1B35EDE0F55CD22ED48B50B74</t>
  </si>
  <si>
    <t>{{応募日時}}</t>
  </si>
  <si>
    <t>Resume.U_86ED6B294E8298EA420013BE32736C</t>
  </si>
  <si>
    <t>{{備考（RPM）}}</t>
  </si>
  <si>
    <t>Resume.U_E104757C586BE5E5D6008B677ED388</t>
  </si>
  <si>
    <t>{{パスポート番号}}</t>
  </si>
  <si>
    <t>Resume.U_1BDF55760EF06F6C4B62BC0A90F09F</t>
  </si>
  <si>
    <t>{{パスポート期限}}</t>
  </si>
  <si>
    <t>Resume.U_2EDA70657D24E2FBCE55C756E84D77</t>
  </si>
  <si>
    <t>{{✖：在留資格コード}}</t>
  </si>
  <si>
    <t>Resume.U_8FA5835D06DBBEE08C21958ADA75A1</t>
  </si>
  <si>
    <t>{{入寮希望その他条件}}</t>
  </si>
  <si>
    <t>Resume.U_00F594511DEECD820D995C1964A7CF</t>
  </si>
  <si>
    <t>{{経験勤務形態}}</t>
  </si>
  <si>
    <t>Resume.U_A4B507231DFE9D1D166F87A02ACCBC</t>
  </si>
  <si>
    <t>{{個人情報保護の同意（個人情報取り扱いの同意）}}</t>
  </si>
  <si>
    <t>Resume.U_E706E94835686318A27743B903DBEB</t>
  </si>
  <si>
    <t>{{配偶者}}</t>
  </si>
  <si>
    <t>Resume.U_09C2506B0413FFA29F248D0FA3384E</t>
  </si>
  <si>
    <t>{{経験勤務形態その他}}</t>
  </si>
  <si>
    <t>Resume.U_04DA86ABF5EF749F81B9CE5C162277</t>
  </si>
  <si>
    <t>{{経験職種その他}}</t>
  </si>
  <si>
    <t>Resume.U_DC6CA7B416C955BCD7642BEFF41459</t>
  </si>
  <si>
    <t>{{✖：移行元ID※P移行用}}</t>
  </si>
  <si>
    <t>Resume.U_29CC0F8FA9057F56984A270322DA39</t>
  </si>
  <si>
    <t>{{✖：移行時キー項目※P移行用}}</t>
  </si>
  <si>
    <t>Resume.U_5AF29264DF149B796EDBC41BB54A78</t>
  </si>
  <si>
    <t>{{✖：移行区分[本番]※P移行用}}</t>
  </si>
  <si>
    <t>Resume.U_095715ABC5316C0F3E6A00FC076BF7</t>
  </si>
  <si>
    <t>{{✖：移行区分[差分]※P移行用}}</t>
  </si>
  <si>
    <t>Resume.U_6E4FA8CDED078BE656A4FB32756C0D</t>
  </si>
  <si>
    <t>{{✖：移行区分[テスト]※P移行用}}</t>
  </si>
  <si>
    <t>Resume.U_28B013C75B5B4035140EA3D7880253</t>
  </si>
  <si>
    <t>{{✖：更新日※P移行用}}</t>
  </si>
  <si>
    <t>Resume.U_0FA497EC4AE92D0F1503517BE04FFB</t>
  </si>
  <si>
    <t>{{✖：更新者※P移行用}}</t>
  </si>
  <si>
    <t>Resume.U_A6F7A9287820F8B0C7B67696A196D6</t>
  </si>
  <si>
    <t>{{希望勤務地（その他）}}</t>
  </si>
  <si>
    <t>Resume.U_9223DEE74265A1ACE02F39B79420B6</t>
  </si>
  <si>
    <t>{{希望の働く期間}}</t>
  </si>
  <si>
    <t>Resume.U_610FC4E404320339414013CB83331C</t>
  </si>
  <si>
    <t>{{応募方法}}</t>
  </si>
  <si>
    <t>Resume.U_431378632977284B426A5C29CCE60C</t>
  </si>
  <si>
    <t>{{海外渡航者-フェーズ}}</t>
  </si>
  <si>
    <t>Resume.U_489DA97A1C4ECE10B0B69959E57C2F</t>
  </si>
  <si>
    <t>{{入寮希望}}</t>
  </si>
  <si>
    <t>Resume.U_10CF74EA7EC06F1A92786F27F4827B</t>
  </si>
  <si>
    <t>{{初期応対日時}}</t>
  </si>
  <si>
    <t>Resume.U_79384EF2098C3F47B3C76582FC81E8</t>
  </si>
  <si>
    <t>{{休日出勤（その他条件）}}</t>
  </si>
  <si>
    <t>Resume.U_907804EDE68734BD0E1F05AE5937AE</t>
  </si>
  <si>
    <t>{{BMI}}</t>
  </si>
  <si>
    <t>Resume.U_53631C51F1BD080BB05C6F2F59514D</t>
  </si>
  <si>
    <t>{{その他マッチング希望条件}}</t>
  </si>
  <si>
    <t>Resume.U_5C309A80F127DEB5831E4B506E41B5</t>
  </si>
  <si>
    <t>{{病歴の完治状況・薬の服用有無等}}</t>
  </si>
  <si>
    <t>Resume.U_8FFA8A6CB77FA963CBCC0D928D2534</t>
  </si>
  <si>
    <t>{{フルタイム・パートタイム}}</t>
  </si>
  <si>
    <t>Resume.U_86212C8DB3273209F1EBA91A4E9423</t>
  </si>
  <si>
    <t>{{Jotフォームその他条件}}</t>
  </si>
  <si>
    <t>Resume.U_94C0D92110E09EF92F505AC207D9BC</t>
  </si>
  <si>
    <t>{{作業姿勢}}</t>
  </si>
  <si>
    <t>Resume.U_D7F5C03FAA853C2C2CE1591A043286</t>
  </si>
  <si>
    <t>{{グループ作業形態}}</t>
  </si>
  <si>
    <t>Resume.U_5B2EEB3CC918B720B668F0C3D7075D</t>
  </si>
  <si>
    <t>{{希望シフト}}</t>
  </si>
  <si>
    <t>Resume.U_38D308ECC6D96CD45B2DDFBE131FC4</t>
  </si>
  <si>
    <t>{{希望の長期休暇}}</t>
  </si>
  <si>
    <t>Resume.U_01BE4609E236ABE2963FFBA5F2E096</t>
  </si>
  <si>
    <t>{{🔵希望のリゾートタイプ}}</t>
  </si>
  <si>
    <t>Resume.U_39D8F4DAF38488BCF30FACB061DE64</t>
  </si>
  <si>
    <t>{{🔵希望の部屋タイプ}}</t>
  </si>
  <si>
    <t>Resume.U_2E08C408B56806EA740139CCE7D861</t>
  </si>
  <si>
    <t>{{マイページ発行の済/未}}</t>
  </si>
  <si>
    <t>Resume.U_27E9BE205E2EBFCFDE81C3B079B455</t>
  </si>
  <si>
    <t>{{作業スピード}}</t>
  </si>
  <si>
    <t>Resume.U_ACEB16227CB0A193831B494E7F9BEB</t>
  </si>
  <si>
    <t>{{体力の必要性}}</t>
  </si>
  <si>
    <t>Resume.U_5C3367885211E858813B32F5B73A9D</t>
  </si>
  <si>
    <t>{{在留期限}}</t>
  </si>
  <si>
    <t>Resume.U_DE0E70050207193373BD5AC06C79D4</t>
  </si>
  <si>
    <t>{{✖：⚠️ビザの種類（2024年5月22日時点未使用？）}}</t>
  </si>
  <si>
    <t>Resume.U_50D5EADE39CC40BC6D52F777CA7F70</t>
  </si>
  <si>
    <t>{{退職理由【職歴１】}}</t>
  </si>
  <si>
    <t>Resume.U_16CF4BB103309ACC6D5B6ED7F87352</t>
  </si>
  <si>
    <t>{{退職理由【職歴２】}}</t>
  </si>
  <si>
    <t>Resume.U_6B3C7082D7B16E07C8E0F827713A71</t>
  </si>
  <si>
    <t>{{退職理由【職歴３】}}</t>
  </si>
  <si>
    <t>Resume.U_4EB12E4540FC358E446046CF5D4AFE</t>
  </si>
  <si>
    <t>{{退職理由【職歴４】}}</t>
  </si>
  <si>
    <t>Resume.U_EEC889D5B03A7C8654818776F1C7ED</t>
  </si>
  <si>
    <t>{{退職理由【職歴５】}}</t>
  </si>
  <si>
    <t>Resume.U_D6550D1F97C9CC1D71FF0669508CD3</t>
  </si>
  <si>
    <t>{{✖：パートナーURL①}}</t>
  </si>
  <si>
    <t>Resume.U_652239119A2518A0EF5A3FCA7CB51A</t>
  </si>
  <si>
    <t>{{SOKUMEN 面接録画URL}}</t>
  </si>
  <si>
    <t>Resume.U_0C76DD5AACDAC179227A3CD15D91C7</t>
  </si>
  <si>
    <t>{{✖：パートナーURL②}}</t>
  </si>
  <si>
    <t>Resume.U_682E3688AD57298EF9DC49C0BC9F51</t>
  </si>
  <si>
    <t>{{【マイページ専用】メールアドレス}}</t>
  </si>
  <si>
    <t>Resume.U_10322F1E0AFF3CF563E1EC3463E76C</t>
  </si>
  <si>
    <t>{{【マイページ専用】パスワード}}</t>
  </si>
  <si>
    <t>Resume.U_64935482FD660841360F1134D4847D</t>
  </si>
  <si>
    <t>{{🚫生年月日(検索用)}}</t>
  </si>
  <si>
    <t>Resume.U_B44CD0A6DD17F80DC3938124DAAA72</t>
  </si>
  <si>
    <t>{{🚫生年月日（検索用テキスト）}}</t>
  </si>
  <si>
    <t>Resume.U_2C382DB148BDE56674B8A9265C0D46</t>
  </si>
  <si>
    <t>{{応募雇用形態-記録用}}</t>
  </si>
  <si>
    <t>Resume.U_22B481CA47BA5E9702D05A15A70929</t>
  </si>
  <si>
    <t>{{🚫生年月日コピペ済みフラグ}}</t>
  </si>
  <si>
    <t>Resume.U_C9B3929DE76222296F89B7C3D17966</t>
  </si>
  <si>
    <t>{{🚫N/M 用データ}}</t>
  </si>
  <si>
    <t>Resume.U_E50611BF7B96FBE50B656456A248A4</t>
  </si>
  <si>
    <t>{{🚫N/M フラグ}}</t>
  </si>
  <si>
    <t>Resume.U_DC6DB45D466CC437B7C45FDB929607</t>
  </si>
  <si>
    <t>{{面接方法}}</t>
  </si>
  <si>
    <t>Resume.U_3C65CB7586A0C67C1B2E8AA7026C35</t>
  </si>
  <si>
    <t>{{面接日時}}</t>
  </si>
  <si>
    <t>Resume.U_67BD8DF3611BC5B4C0057CA614BF1A</t>
  </si>
  <si>
    <t>{{✖：名前・生年月日・メール・電話番号による重複確認は行いましたか？}}</t>
  </si>
  <si>
    <t>Resume.U_71338B97CC376AE3CA1C3E87CFC417</t>
  </si>
  <si>
    <t>{{✖：重複作業カウント（レジュメ）}}</t>
  </si>
  <si>
    <t>Resume.U_10522EE6BD03E10C285ED06D6C6D1A</t>
  </si>
  <si>
    <t>{{✖：希望取引先（STEMS）検索用}}</t>
  </si>
  <si>
    <t>Resume.U_AE6D73A8F9B5D309D79B17403AF3B5</t>
  </si>
  <si>
    <t>{{✖：重複作業時間（レジュメ）}}</t>
  </si>
  <si>
    <t>Resume.U_29E01EE14FD0DAACE66FC2F03127F1</t>
  </si>
  <si>
    <t>{{✖：重複対象}}</t>
  </si>
  <si>
    <t>Resume.U_E0DBC2F41744548C29ADF88DF659A6</t>
  </si>
  <si>
    <t>Resume.U_D0B640E8D147FD09D8C36EFCFDCBE2</t>
  </si>
  <si>
    <t>{{ビザ／査証の種類}}</t>
  </si>
  <si>
    <t>Resume.U_B35E7DDADFC1689C8E4A9A8F40C6D3</t>
  </si>
  <si>
    <t>{{項目不備}}</t>
  </si>
  <si>
    <t>Resume.U_CEC884BB27816440CCB52C1B0568D7</t>
  </si>
  <si>
    <t>{{事前入力フォームURL}}</t>
  </si>
  <si>
    <t>Resume.U_175B7180CE101F0ECD3EE12B58ED7A</t>
  </si>
  <si>
    <t>{{面接準備フォームURL}}</t>
  </si>
  <si>
    <t>Resume.U_C44B2E3246E92BD8E3489F4D0AD859</t>
  </si>
  <si>
    <t>{{事前入力フォーム回答日時（ATS）}}</t>
  </si>
  <si>
    <t>Resume.U_03E16D9052FF326FF4903407C81B4B</t>
  </si>
  <si>
    <t>{{面接準備フォーム回答日時（ATS）}}</t>
  </si>
  <si>
    <t>Resume.U_4B70E96361D9E6D966A63D3B812BAB</t>
  </si>
  <si>
    <t>{{面接設定URL(ZLOSS)}}</t>
  </si>
  <si>
    <t>Resume.U_242C689B100F31A481E71C89E1B871</t>
  </si>
  <si>
    <t>{{面接設定日時（ATS）}}</t>
  </si>
  <si>
    <t>Resume.U_2478EFDB1BFE746CF4BC04DED592C6</t>
  </si>
  <si>
    <t>{{面接日時（ATS）}}</t>
  </si>
  <si>
    <t>Resume.U_D6519FF64ECF62C70FB9547EAD938B</t>
  </si>
  <si>
    <t>{{面接実施URL}}</t>
  </si>
  <si>
    <t>Resume.U_AB94D4C65A43263AC12C1ABC9B6FD3</t>
  </si>
  <si>
    <t>{{セグメントID}}</t>
  </si>
  <si>
    <t>Resume.U_7EBE471E54F14CA9EDA07157F1DC41</t>
  </si>
  <si>
    <t>{{判定結果}}</t>
  </si>
  <si>
    <t>Resume.U_5AC83679E28804BE9B4BB23C8BAFC1</t>
  </si>
  <si>
    <t>{{応募種別}}</t>
  </si>
  <si>
    <t>Resume.U_FA5E6BC1DBA0D424BC4A406EA74FE0</t>
  </si>
  <si>
    <t>{{✖：（選考用）応募があった求人ID}}</t>
  </si>
  <si>
    <t>Resume.U_808DADA23FFAC93C1EE58AB4D8A622</t>
  </si>
  <si>
    <t>{{（選別用）応募があった求人ID}}</t>
  </si>
  <si>
    <t>Resume.U_2B9ED104F13FE9CCC845F68585130D</t>
  </si>
  <si>
    <t>{{✖：キャリメリ用（同意する）}}</t>
  </si>
  <si>
    <t>Resume.U_FC93E079491B38FDF871CFDEE6E106</t>
  </si>
  <si>
    <t>{{運転免許（新)}}</t>
  </si>
  <si>
    <t>Resume.U_14DAB0E13372EAFBA4DE002700E307</t>
  </si>
  <si>
    <t>{{書類アップロードフォームURL}}</t>
  </si>
  <si>
    <t>Resume.U_496E95A51473494F9793914196C921</t>
  </si>
  <si>
    <t>{{書類アップロード日時（ATS）}}</t>
  </si>
  <si>
    <t>Resume.U_F93BAFDB864F71B98C7EE9E6AC2E71</t>
  </si>
  <si>
    <t>{{強制保留}}</t>
  </si>
  <si>
    <t>Resume.U_4F4E0F389E0358DE06691DB461239B</t>
  </si>
  <si>
    <t>{{強制保留の理由}}</t>
  </si>
  <si>
    <t>Resume.U_9081BC6427809D5158DC6B8D375D62</t>
  </si>
  <si>
    <t>{{キャリア形成の為の教育訓練の希望有無}}</t>
  </si>
  <si>
    <t>Resume.U_525A2D1608F5350AE08D106F99BD46</t>
  </si>
  <si>
    <t>{{希望の月収[万円]}}</t>
  </si>
  <si>
    <t>Resume.U_0DA2CA6FACB00A15B05AC97C091068</t>
  </si>
  <si>
    <t>{{Preferência por segmento/希望職種}}</t>
  </si>
  <si>
    <t>Resume.U_FA57D6D36BC715B03FE45E74F8C37E</t>
  </si>
  <si>
    <t>{{Itens necessários/必要な家具・家電品}}</t>
  </si>
  <si>
    <t>Resume.U_B7DC7FBD8ED4DD51355AB05390FB3B</t>
  </si>
  <si>
    <t>{{Veículo necessário para mudança／引っ越しに必要な車両}}</t>
  </si>
  <si>
    <t>Resume.U_2117CC16F3136F069E85625A9683B7</t>
  </si>
  <si>
    <t>{{Estado【職歴1】}}</t>
  </si>
  <si>
    <t>Resume.U_69B3641725A10CDB9EB031202CC994</t>
  </si>
  <si>
    <t>{{Cidade【職歴1】}}</t>
  </si>
  <si>
    <t>Resume.U_2534A60AE287DAD2CA453188632A57</t>
  </si>
  <si>
    <t>{{Segmento【職歴1】}}</t>
  </si>
  <si>
    <t>Resume.U_CCB6A4E3C66E03C0142DBD4BDB645A</t>
  </si>
  <si>
    <t>{{Estado／都道府県【職歴2】}}</t>
  </si>
  <si>
    <t>Resume.U_195C6454853F9851E1B321F1C77977</t>
  </si>
  <si>
    <t>{{Cidade／市町村【職歴2】}}</t>
  </si>
  <si>
    <t>Resume.U_FF6262C0ECC38586D279C58D288364</t>
  </si>
  <si>
    <t>{{Salário yen／給与【職歴2】}}</t>
  </si>
  <si>
    <t>Resume.U_0391099995338972822C9FBAF14B0A</t>
  </si>
  <si>
    <t>{{Segmento／職種【職歴2】}}</t>
  </si>
  <si>
    <t>Resume.U_06F84B4807FB5F5DF5C417F8CA4CD2</t>
  </si>
  <si>
    <t>{{Estado／都道府県【職歴3】}}</t>
  </si>
  <si>
    <t>Resume.U_BC9091DB2DBCF2DE36345426866E05</t>
  </si>
  <si>
    <t>{{Cidade／市町村【職歴3】}}</t>
  </si>
  <si>
    <t>Resume.U_556DC480F483243F397D1D551615A0</t>
  </si>
  <si>
    <t>{{Salário yen／給与【職歴3】}}</t>
  </si>
  <si>
    <t>Resume.U_B39A783CB67762692DD98A4507C725</t>
  </si>
  <si>
    <t>{{Segmento／職種【職歴3】}}</t>
  </si>
  <si>
    <t>Resume.U_191A81032D8E5A2C3F943EB0554A1A</t>
  </si>
  <si>
    <t>{{Estado／都道府県【職歴4】}}</t>
  </si>
  <si>
    <t>Resume.U_B33A7C3C040BE7C413EBB1C17DC698</t>
  </si>
  <si>
    <t>{{Cidade／市町村【職歴4】}}</t>
  </si>
  <si>
    <t>Resume.U_42AFA48463B512ED1980789CFD04BB</t>
  </si>
  <si>
    <t>{{Salário  yen／【職歴4】}}</t>
  </si>
  <si>
    <t>Resume.U_1DE23CFA692E766811BA491CF3DAAE</t>
  </si>
  <si>
    <t>{{Segmento／職種【職歴4】}}</t>
  </si>
  <si>
    <t>Resume.U_EE39600073540C88234467FC95D219</t>
  </si>
  <si>
    <t>{{Estado／都道府県【職歴5】}}</t>
  </si>
  <si>
    <t>Resume.U_F495FD82A8D0480CA9B3970CD74998</t>
  </si>
  <si>
    <t>{{Cidade／市町村【職歴5】}}</t>
  </si>
  <si>
    <t>Resume.U_517800DD5979E6CE21E2F867FAD109</t>
  </si>
  <si>
    <t>{{Salário  yen／時給【職歴5】}}</t>
  </si>
  <si>
    <t>Resume.U_33C718552246708B99D964025B5D83</t>
  </si>
  <si>
    <t>{{Segmento／職種【職歴5】}}</t>
  </si>
  <si>
    <t>Resume.U_72FDB708919D5CDB209E1C934F6E83</t>
  </si>
  <si>
    <t>{{Local／場所}}</t>
  </si>
  <si>
    <t>Resume.U_B737DE55EC99240FE24847A66C812D</t>
  </si>
  <si>
    <t>{{Empresa／会社名}}</t>
  </si>
  <si>
    <t>Resume.U_19470CE330CE3D1D243E56AF3042E4</t>
  </si>
  <si>
    <t>{{Data de entrada na empresa／入社年月日}}</t>
  </si>
  <si>
    <t>Resume.U_4B2228A7CB0275F259BFD8AE9242DF</t>
  </si>
  <si>
    <t>{{Data de demissão／退職年月日}}</t>
  </si>
  <si>
    <t>Resume.U_477DA8115ED4F3EAE78F8630AA7B2C</t>
  </si>
  <si>
    <t>{{Contrato／雇用形態}}</t>
  </si>
  <si>
    <t>Resume.U_0BFDA2FCEC0604315B70A6D46A3927</t>
  </si>
  <si>
    <t>{{Turno【職歴1】}}</t>
  </si>
  <si>
    <t>Resume.U_DB6EFB484663DEC417EA9DB060A089</t>
  </si>
  <si>
    <t>{{Turno／勤務シフト【職歴2】}}</t>
  </si>
  <si>
    <t>Resume.U_14CD95DAF797D6113914484E4FFEC3</t>
  </si>
  <si>
    <t>{{Turno／勤務シフト【職歴3】}}</t>
  </si>
  <si>
    <t>Resume.U_620F7151BE35C007B56E80288EE970</t>
  </si>
  <si>
    <t>{{Turno／勤務シフト【職歴4】}}</t>
  </si>
  <si>
    <t>Resume.U_E3434D410440466C56FA8D7C371D3E</t>
  </si>
  <si>
    <t>{{Turno／勤務シフト【職歴5】}}</t>
  </si>
  <si>
    <t>Resume.U_E4A582C1717DFF8512CAC0AD24D0CD</t>
  </si>
  <si>
    <t>{{Turno／勤務シフト}}</t>
  </si>
  <si>
    <t>Resume.U_0FB1BC3D8A89F3E6B62E0ED8E0E479</t>
  </si>
  <si>
    <t>{{Salário／時給}}</t>
  </si>
  <si>
    <t>Resume.U_B5CB6A215B31048FC78FEBB1FA7B38</t>
  </si>
  <si>
    <t>{{Segmento／職種【職歴P】}}</t>
  </si>
  <si>
    <t>Resume.U_B2ECC5C42D9C4C4F624ED42062FC56</t>
  </si>
  <si>
    <t>{{Conteúdo do trabalho／業務内容}}</t>
  </si>
  <si>
    <t>Resume.U_1C9F4006FC858594285D3427FC85B3</t>
  </si>
  <si>
    <t>{{Demissão／退職理由について}}</t>
  </si>
  <si>
    <t>Resume.U_3E934D35161442E982A6265015BF1A</t>
  </si>
  <si>
    <t>{{Motivo／退職理由}}</t>
  </si>
  <si>
    <t>Resume.U_1439660EFC71C4C9F7D78E23F47270</t>
  </si>
  <si>
    <t>{{Estado civil／既婚状況}}</t>
  </si>
  <si>
    <t>Resume.U_69EF07C4E33F714BE06C94EB52CD25</t>
  </si>
  <si>
    <t>{{Usa piercing?／ピアスをしているか}}</t>
  </si>
  <si>
    <t>Resume.U_480BC8C4D3DF213D6F7DE3E9F69932</t>
  </si>
  <si>
    <t>{{Caso use piercing, pode retirar?／ピアスを外すことは出来るか}}</t>
  </si>
  <si>
    <t>Resume.U_0242EFAA93B376DDBBAF0D4338CB8C</t>
  </si>
  <si>
    <t>{{Tem tatuagem? ／ 刺青ありますか？}}</t>
  </si>
  <si>
    <t>Resume.U_02ECFAF3AFEDFD1BE2F986B039A13B</t>
  </si>
  <si>
    <t>{{Pode usar manga comprida para esconder a tatuagem?}}</t>
  </si>
  <si>
    <t>Resume.U_CDDCEC22D3F26DBD98111687E0933F</t>
  </si>
  <si>
    <t>{{Qual o local da tatuagem／刺青の場所}}</t>
  </si>
  <si>
    <t>Resume.U_FF69D43B42F2D38DC288D969499E21</t>
  </si>
  <si>
    <t>{{Indique o local caso use alargador na orelha}}</t>
  </si>
  <si>
    <t>Resume.U_097C63F82E49E652EE5D554CD27A6B</t>
  </si>
  <si>
    <t>{{tamanho caso use alargador na orelha／ピアスの大きさ[mm]}}</t>
  </si>
  <si>
    <t>Resume.U_0760C5AAF627AC9D75D984CA99733E</t>
  </si>
  <si>
    <t>{{Daltonismo／色盲}}</t>
  </si>
  <si>
    <t>Resume.U_C3DE9B83ECC280CEA910CB4CBAC280</t>
  </si>
  <si>
    <t>{{Tendinite／腱炎}}</t>
  </si>
  <si>
    <t>Resume.U_D23964AB623BE24C7E6952E1EF124B</t>
  </si>
  <si>
    <t>{{Dor lombar／腰痛}}</t>
  </si>
  <si>
    <t>Resume.U_4E314CC092AC747B1D639A8FDE03AD</t>
  </si>
  <si>
    <t>{{Asma／喘息}}</t>
  </si>
  <si>
    <t>Resume.U_C6C3A1EF0B757197B70A967DBD399E</t>
  </si>
  <si>
    <t>{{Diabetes／糖尿病}}</t>
  </si>
  <si>
    <t>Resume.U_B28466A1B1771053BCD47575D7AB0D</t>
  </si>
  <si>
    <t>{{Rinite alérgica／鼻炎}}</t>
  </si>
  <si>
    <t>Resume.U_933DB7877B5A33EF978E605019B73A</t>
  </si>
  <si>
    <t>{{Alergia de pele／皮膚炎}}</t>
  </si>
  <si>
    <t>Resume.U_89A52AB96418A6397DC7F83FB42CB9</t>
  </si>
  <si>
    <t>{{Hipertensão／高血圧症}}</t>
  </si>
  <si>
    <t>Resume.U_AFB350D32C693885E1D8C47B51B7D9</t>
  </si>
  <si>
    <t>{{Doença cardíaca／心臓病}}</t>
  </si>
  <si>
    <t>Resume.U_57E777AC6E794A99ACC669DEE53542</t>
  </si>
  <si>
    <t>{{Doença no fígado／肝臓病}}</t>
  </si>
  <si>
    <t>Resume.U_5B377DBC4C54B7A948F7EF44FA5A34</t>
  </si>
  <si>
    <t>{{Doença intestinal／胃腸病}}</t>
  </si>
  <si>
    <t>Resume.U_F0D0A627B4B2E4C7BC42749884A9CD</t>
  </si>
  <si>
    <t>{{Tuberculose／結核}}</t>
  </si>
  <si>
    <t>Resume.U_625B0A6833A22A5371CDC6CDF721BB</t>
  </si>
  <si>
    <t>{{Tireoide／甲状腺}}</t>
  </si>
  <si>
    <t>Resume.U_925E6E144328FF566E88FDABBBD789</t>
  </si>
  <si>
    <t>{{Já foi operado?／手術暦}}</t>
  </si>
  <si>
    <t>Resume.U_E562E4146F1789091161930859CE90</t>
  </si>
  <si>
    <t>{{Toma remédio?／薬の服用}}</t>
  </si>
  <si>
    <t>Resume.U_98238A18BA1FAD3978913782803356</t>
  </si>
  <si>
    <t>{{Tem alguma doeça não listado／病歴その他}}</t>
  </si>
  <si>
    <t>Resume.U_78314D8A323D03F37F37A684061E34</t>
  </si>
  <si>
    <t>{{Nome de uma doença que não está na lista?／病歴その他}}</t>
  </si>
  <si>
    <t>Resume.U_4CB86616100A17CB75D1C2C23CDB53</t>
  </si>
  <si>
    <t>{{Com que idade surgiu a Daltonismo}}</t>
  </si>
  <si>
    <t>Resume.U_A855357CE0E6B08A2FF02DC567A88D</t>
  </si>
  <si>
    <t>{{Com que idade surgiu a Tendinite}}</t>
  </si>
  <si>
    <t>Resume.U_8C136423C7E50257C142B807420802</t>
  </si>
  <si>
    <t>{{Com que idade surgiu a Dor lombar}}</t>
  </si>
  <si>
    <t>Resume.U_99D47FD522CFC3DCCFCDDA0485C615</t>
  </si>
  <si>
    <t>{{Com que idade surgiu a Asma}}</t>
  </si>
  <si>
    <t>Resume.U_14FA2333A095D6CF00319E3D9A349A</t>
  </si>
  <si>
    <t>{{Com que idade surgiu a Hipertensão}}</t>
  </si>
  <si>
    <t>Resume.U_6EF439776A1B375F9DF878DC910D45</t>
  </si>
  <si>
    <t>{{Com que idade surgiu a Doença no fígado}}</t>
  </si>
  <si>
    <t>Resume.U_DC01BB5FA4E9F7B130F810A717C059</t>
  </si>
  <si>
    <t>{{Com que idade surgiu a Tireoide}}</t>
  </si>
  <si>
    <t>Resume.U_AFF011A0013F0B6D70DA615F8B9C32</t>
  </si>
  <si>
    <t>{{Com que idade surgiu a Tuberculose}}</t>
  </si>
  <si>
    <t>Resume.U_268D1B2172839A97308296D4B0E28B</t>
  </si>
  <si>
    <t>{{Com que idade surgiu a Doença intestinal}}</t>
  </si>
  <si>
    <t>Resume.U_49B92BBEFCC581C5E7FF980FC3D00A</t>
  </si>
  <si>
    <t>{{Com que idade surgiu a Já foi operado?}}</t>
  </si>
  <si>
    <t>Resume.U_BF37398A4610DF7B7F7B8FC4875B1E</t>
  </si>
  <si>
    <t>{{Com que idade surgiu a Diabetes}}</t>
  </si>
  <si>
    <t>Resume.U_D29F2C91F35AF64A822C8A43D2CE52</t>
  </si>
  <si>
    <t>{{Com que idade surgiu a Alergia de pele}}</t>
  </si>
  <si>
    <t>Resume.U_3E4F027D72D1B326565D5F109DE49D</t>
  </si>
  <si>
    <t>{{Com que idade surgiu a Rinite alérgica}}</t>
  </si>
  <si>
    <t>Resume.U_901E776ED0B35A3BB707F24298598B</t>
  </si>
  <si>
    <t>{{Com que idade surgiu a Doença cardíaca}}</t>
  </si>
  <si>
    <t>Resume.U_AEB0BF57FD8B37674127831FD245A3</t>
  </si>
  <si>
    <t>{{Com que idade surgiu a alguma doeça não listado}}</t>
  </si>
  <si>
    <t>Resume.U_87874544A56A14467D77642DF56EF3</t>
  </si>
  <si>
    <t>{{Com que idade surgiu a Toma remédio?}}</t>
  </si>
  <si>
    <t>Resume.U_C2E7AD70C08A6A173F1EEA6E4219CE</t>
  </si>
  <si>
    <t>{{　}}</t>
  </si>
  <si>
    <t>Resume.U_6704F43C9B6B5EF38DC482AF9AF19B</t>
  </si>
  <si>
    <t>{{ⒶJá foi demitido por causa de confusão ou briga?}}</t>
  </si>
  <si>
    <t>Resume.U_AA007618B86B82511CF3E1EBF5F158</t>
  </si>
  <si>
    <t>{{ⒷConsegue trabalhar por longas horas diariamente?}}</t>
  </si>
  <si>
    <t>Resume.U_E1FC89455BD920FC522D096BABE6C8</t>
  </si>
  <si>
    <t>{{ⒸPrefere trabalhar em pé ou sentado?}}</t>
  </si>
  <si>
    <t>Resume.U_05C3F67436FD5CFA3A170E0F6F0AC4</t>
  </si>
  <si>
    <t>{{ⒹPrefere trabalhar em grupo do que sozinho?}}</t>
  </si>
  <si>
    <t>Resume.U_28F46D6AF817343C7B54D1D273256C</t>
  </si>
  <si>
    <t>{{ⒺPode trabalhar no calendário 4x2?}}</t>
  </si>
  <si>
    <t>Resume.U_AD399F8F224E5B9CC30DF3DD25B9C9</t>
  </si>
  <si>
    <t>{{ⒻExigências no calendário para casais?}}</t>
  </si>
  <si>
    <t>Resume.U_9CC33451802E72ECA180E9434AC748</t>
  </si>
  <si>
    <t>{{ⒿSuporta o cheiro de petróleo/thinner por horas?}}</t>
  </si>
  <si>
    <t>Resume.U_F03197D5998606ACF4428D444370A7</t>
  </si>
  <si>
    <t>{{ⓁManuseia eletrônicos e computadores?}}</t>
  </si>
  <si>
    <t>Resume.U_9463C2D2F82D45801CF7D34BC549E3</t>
  </si>
  <si>
    <t>{{ⓂComo considera o seu estado físico atual?}}</t>
  </si>
  <si>
    <t>Resume.U_1BC1BF2F47DD6CD4E68C7DD5CD8FC7</t>
  </si>
  <si>
    <t>{{ⓃQuantas faltas ou atrasos em 3 meses?}}</t>
  </si>
  <si>
    <t>Resume.U_93CE519A214447C0B68FDACDD0B921</t>
  </si>
  <si>
    <t>{{ⓄFaltas &gt; 1 dia: Motivo}}</t>
  </si>
  <si>
    <t>Resume.U_5DE17C248F217EEBF5E6EA2B1C8C5C</t>
  </si>
  <si>
    <t>{{ⓅQual a sua preferência com relação a MORADIA?}}</t>
  </si>
  <si>
    <t>Resume.U_9777F125DD92C612EBCFB39A9E59E8</t>
  </si>
  <si>
    <t>{{ⓈPretende aprender Hiragana/Katakana?}}</t>
  </si>
  <si>
    <t>Resume.U_B5747BAA989AD52B7D737DF64D9E96</t>
  </si>
  <si>
    <t>{{ⓊRecebendo propostas de outras empresas?}}</t>
  </si>
  <si>
    <t>Resume.U_719DBBB9F121189451F085181BAA3F</t>
  </si>
  <si>
    <t>{{　Caso positivo, quantas?}}</t>
  </si>
  <si>
    <t>Resume.U_12B77B1B42B74ECDE56FA8688BC1C7</t>
  </si>
  <si>
    <t>{{ⓋConsegue trabalhar em ambiente CLEAN ROOM?}}</t>
  </si>
  <si>
    <t>Resume.U_D6E8D7637C5E785775D2F61DC769AD</t>
  </si>
  <si>
    <t>{{ⓌAmarela iluminação, pode trabalhar?}}</t>
  </si>
  <si>
    <t>Resume.U_515449E47CA333350A76DDF4F01D93</t>
  </si>
  <si>
    <t>{{ⓍProblemas com máscara de proteção?}}</t>
  </si>
  <si>
    <t>Resume.U_752A0CFB8D15D432CBB95D46635762</t>
  </si>
  <si>
    <t>{{ⓎSetores usam pó, aguenta? (com máscara)}}</t>
  </si>
  <si>
    <t>Resume.U_6C70651819027F1755913EF0951D09</t>
  </si>
  <si>
    <t>{{1-1 Se for Fumante, quantas horas sem cigarro?}}</t>
  </si>
  <si>
    <t>Resume.U_D3304172B3BD3D8EB82EF60CC2BF8C</t>
  </si>
  <si>
    <t>{{1-2 Tratando doença que impede função específica?}}</t>
  </si>
  <si>
    <t>Resume.U_E96F44099A8ED9E29F2337EB30C070</t>
  </si>
  <si>
    <t>{{Pretende financiar a passagem aérea?}}</t>
  </si>
  <si>
    <t>Resume.U_4F0EC3F1FA7355A1861A4EE568FBA5</t>
  </si>
  <si>
    <t>{{Possui VISTO japonês válido?}}</t>
  </si>
  <si>
    <t>Resume.U_389D0EDF4CF72AD718EBB0C07A1C9E</t>
  </si>
  <si>
    <t>{{Salário yen／給与【職歴1】}}</t>
  </si>
  <si>
    <t>Resume.U_E64A2E6C53F5EDD9D2D24EA5BFCBC1</t>
  </si>
  <si>
    <t>{{Cidade e Estado da última instituição de ensino}}</t>
  </si>
  <si>
    <t>Resume.U_793084E3AD7315E5328E418CF5C1FC</t>
  </si>
  <si>
    <t>{{Assinatura}}</t>
  </si>
  <si>
    <t>Resume.U_971F7264E2C96A6FB9007C5480EC41</t>
  </si>
  <si>
    <t>{{Foto de rosto}}</t>
  </si>
  <si>
    <t>Resume.U_08B9D70610BFA54AC54BD0B964F425</t>
  </si>
  <si>
    <t>{{Foto do ZAIRYU CARD (frente)}}</t>
  </si>
  <si>
    <t>Resume.U_D6DE27C5B4A865635DE1AF02FC3388</t>
  </si>
  <si>
    <t>{{Foto do ZAIRYU CARD (verso)}}</t>
  </si>
  <si>
    <t>Resume.U_6120AEC189CBECF175EC9F22375E06</t>
  </si>
  <si>
    <t>{{Foto da carteira de habilitação do Japão (Frente)}}</t>
  </si>
  <si>
    <t>Resume.U_38BCE344C35EC97D648C43936808AE</t>
  </si>
  <si>
    <t>{{Foto da carteira de habilitação do Japão (Verso)}}</t>
  </si>
  <si>
    <t>Resume.U_2D091B60D60222C93F50FD9AA288F1</t>
  </si>
  <si>
    <t>{{Foto da tatuagem 1}}</t>
  </si>
  <si>
    <t>Resume.U_ACB098EAB1D5FFE416F7E45F0F19DA</t>
  </si>
  <si>
    <t>{{Foto da tatuagem 2}}</t>
  </si>
  <si>
    <t>Resume.U_407221D7BFD5162A484F9393951379</t>
  </si>
  <si>
    <t>{{Foto de corpo inteiro}}</t>
  </si>
  <si>
    <t>Resume.U_26B826B3838E5CB051F183C621D57E</t>
  </si>
  <si>
    <t>{{Foto do resultado do exame médico}}</t>
  </si>
  <si>
    <t>Resume.U_0E9D5C8EB26E8B1E9AD282DD34B167</t>
  </si>
  <si>
    <t>{{Nome do atendente}}</t>
  </si>
  <si>
    <t>Resume.U_BE956B1E10ED409F6F0D3665D26952</t>
  </si>
  <si>
    <t>{{carteira deficiente físico?／障害者療育手帳を持っているか}}</t>
  </si>
  <si>
    <t>Resume.U_68D7AC70BC391E8C39838E4F42003C</t>
  </si>
  <si>
    <t>{{Marque todas as respostas afirmativas}}</t>
  </si>
  <si>
    <t>Resume.U_0C91C79F8F9015DA4DD218DD0AA55B</t>
  </si>
  <si>
    <t>{{Salário por hora ou mês?【職歴1】}}</t>
  </si>
  <si>
    <t>Resume.U_BB41EA46D493EBC95A891161F84B4E</t>
  </si>
  <si>
    <t>{{Salário por hora ou mês?【職歴2】}}</t>
  </si>
  <si>
    <t>Resume.U_2CC73A8B6D1BF0A33A1F90ECD07392</t>
  </si>
  <si>
    <t>{{Salário por hora ou mês?【職歴3】}}</t>
  </si>
  <si>
    <t>Resume.U_7B6171A9521521BFBE264994454719</t>
  </si>
  <si>
    <t>{{Salário por hora ou mês?【職歴4】}}</t>
  </si>
  <si>
    <t>Resume.U_DC5A7E4664577D443D9D69882809A1</t>
  </si>
  <si>
    <t>{{Salário por hora ou mês?【職歴5】}}</t>
  </si>
  <si>
    <t>Resume.U_C961D63273FE3F2C51BD607F011386</t>
  </si>
  <si>
    <t>{{🚫面接官フォーム用アクセスコード}}</t>
  </si>
  <si>
    <t>Resume.U_2410F8BD5C111DDEEA98A1B16CB08B</t>
  </si>
  <si>
    <t>{{✖：暫定：書類アップロードフォームURL}}</t>
  </si>
  <si>
    <t>Resume.U_866FF374A2027C7AD6371F1AA04739</t>
  </si>
  <si>
    <t>{{最新応募日時（ATS用）}}</t>
  </si>
  <si>
    <t>Resume.U_1B2E920CFDC08534C331293D7E53DD</t>
  </si>
  <si>
    <t>{{ATS応募（R）}}</t>
  </si>
  <si>
    <t>Resume.U_2D6321D9CC0902BB48479B9650C453</t>
  </si>
  <si>
    <t>{{ATS重複判定（R）}}</t>
  </si>
  <si>
    <t>Resume.U_63BEFF20BB568AC91825FAE832D09D</t>
  </si>
  <si>
    <t>{{✖：面談メモ}}</t>
  </si>
  <si>
    <t>Resume.U_8E28DD91AECA8D154EB06964EB7D8D</t>
  </si>
  <si>
    <t>{{応募者URL（SOKUMEN・ATS）}}</t>
  </si>
  <si>
    <t>Resume.U_C30BB2CEFA5A556FE0F70B4D9B5EE1</t>
  </si>
  <si>
    <t>{{🚫フリガナコピペ済みフラグ}}</t>
  </si>
  <si>
    <t>Resume.U_41517006C67304BD85409CD117729C</t>
  </si>
  <si>
    <t>{{🚫氏名コピペ済みフラグ}}</t>
  </si>
  <si>
    <t>Resume.U_97C9F680A2B114FAF17E3E8F082692</t>
  </si>
  <si>
    <t>{{🚫重複確認への同意}}</t>
  </si>
  <si>
    <t>Resume.U_65ECE145A4E09B4FF62FCD928F1BCD</t>
  </si>
  <si>
    <t>{{⚠️接触}}</t>
  </si>
  <si>
    <t>Resume.U_C6D9A6D57D7ACC9554C29246E6DDF6</t>
  </si>
  <si>
    <t>{{⚠️面接設定}}</t>
  </si>
  <si>
    <t>Resume.U_006CB83435DE539A672BAF0E98AAAB</t>
  </si>
  <si>
    <t>{{⚠️面接実施}}</t>
  </si>
  <si>
    <t>Resume.U_475F0964CB1A7C9CD68E2C65E0F10A</t>
  </si>
  <si>
    <t>{{⚠️紹介・打診}}</t>
  </si>
  <si>
    <t>Resume.U_04E3000728F5924DA3385CF3012A9B</t>
  </si>
  <si>
    <t>{{⚠️採用月}}</t>
  </si>
  <si>
    <t>Resume.U_908B0D6D386C0D45DA947B41C0CC19</t>
  </si>
  <si>
    <t>{{🔵勤務終了希望日}}</t>
  </si>
  <si>
    <t>Resume.U_E714938A8541E8940A57E156A472DA</t>
  </si>
  <si>
    <t>{{🔵求職有効期間}}</t>
  </si>
  <si>
    <t>Resume.U_CFAF1955629520BAE7108AF15929B7</t>
  </si>
  <si>
    <t>{{⚠️Jotフォーム重複確認用（レジュメ）}}</t>
  </si>
  <si>
    <t>Resume.U_0839DFEB6DB14A9D29553504F6ADB8</t>
  </si>
  <si>
    <t>{{紹介不可理由}}</t>
  </si>
  <si>
    <t>Resume.U_CB210D6D84C263285C7A8D97065CDE</t>
  </si>
  <si>
    <t>{{掘り起こし回数}}</t>
  </si>
  <si>
    <t>Resume.U_A924B6C29F834EA9BE65457F11A61E</t>
  </si>
  <si>
    <t>{{マージ専用備考（レジュメ）}}</t>
  </si>
  <si>
    <t>Resume.U_3236A189E8C24A5633AD7B79B0C357</t>
  </si>
  <si>
    <t>{{マイページ関連備考（⚠️管理者用）}}</t>
  </si>
  <si>
    <t>Resume.U_F1231C0B69D58B2CA87C962914390B</t>
  </si>
  <si>
    <t>{{ブラジルから日本への航空券費用①}}</t>
  </si>
  <si>
    <t>{{ビザ取得手続き代行費用②}}</t>
  </si>
  <si>
    <t>Resume.U_C4C5637F77E0CB1CB2CF1A60311DB6</t>
  </si>
  <si>
    <t>{{海外旅行傷害保険費用③}}</t>
  </si>
  <si>
    <t>Resume.U_4D9859BC720044357B25ACC4B09029</t>
  </si>
  <si>
    <t>{{ブラジルでの空港までのアテンド費用④}}</t>
  </si>
  <si>
    <t>Resume.U_CBCC2E7ED4BD5C9E5C4F112B73269E</t>
  </si>
  <si>
    <t>{{その他の費用⑤}}</t>
  </si>
  <si>
    <t>Resume.U_A86F170D121F43A6C87D798428CCA6</t>
  </si>
  <si>
    <t>{{費用負担者④}}</t>
  </si>
  <si>
    <t>Resume.U_632D153D96921CD2D1E457433A2F46</t>
  </si>
  <si>
    <t>{{費用負担者①}}</t>
  </si>
  <si>
    <t>Resume.U_CF34E62F0896F61437EB02653BF509</t>
  </si>
  <si>
    <t>{{費用負担者②}}</t>
  </si>
  <si>
    <t>Resume.U_5494437830D7370292F4A9E4F7AE40</t>
  </si>
  <si>
    <t>{{費用負担者③}}</t>
  </si>
  <si>
    <t>Resume.U_622442D46BFCBAD8D2808D6918528A</t>
  </si>
  <si>
    <t>Resume.U_6292763B64114655ED2F4F299CE6A8</t>
  </si>
  <si>
    <t>Resume.U_04CDFA2738C8EE8938351E371EC10F</t>
  </si>
  <si>
    <t>Resume.U_EB6014628ABF50407195264B734D29</t>
  </si>
  <si>
    <t>Resume.U_CCCD9DABE572A7516B06EC9C597D48</t>
  </si>
  <si>
    <t>Resume.U_B28977D8FDBD744A7EDD073F98B381</t>
  </si>
  <si>
    <t>Resume.U_4E4A840215128A7E1A9E225483ACB6</t>
  </si>
  <si>
    <t>Resume.U_2EA19857586E6CB99E2E006D3B2D47</t>
  </si>
  <si>
    <t>{{費用負担者⑤}}</t>
  </si>
  <si>
    <t>Resume.U_7F5CD7D97F06B26A6346D012F1CA45</t>
  </si>
  <si>
    <t>住　所</t>
    <rPh sb="0" eb="1">
      <t>スミ</t>
    </rPh>
    <rPh sb="2" eb="3">
      <t>ショ</t>
    </rPh>
    <phoneticPr fontId="0"/>
  </si>
  <si>
    <t>AICHI-KEN, TOYOHASHI-SHI, NISHI MIYUKI-CHO, AZA MIYUKI 22-2</t>
    <phoneticPr fontId="0"/>
  </si>
  <si>
    <t>SANKYO TECHNO STAFF CO., LTD.</t>
    <phoneticPr fontId="0"/>
  </si>
  <si>
    <r>
      <t>5_</t>
    </r>
    <r>
      <rPr>
        <sz val="8"/>
        <color theme="1"/>
        <rFont val="ＭＳ Ｐゴシック"/>
        <family val="3"/>
        <charset val="128"/>
      </rPr>
      <t>渡航費用説明同意書</t>
    </r>
    <r>
      <rPr>
        <sz val="8"/>
        <color theme="1"/>
        <rFont val="Arial Narrow"/>
        <family val="2"/>
      </rPr>
      <t>_2020_03</t>
    </r>
  </si>
  <si>
    <t>渡航費用説明同意書</t>
  </si>
  <si>
    <t>TERMO DE CONSENTIMENTO QUANTO À EXPLICAÇÃO SOBRE DESPESAS DE VIAGEM</t>
    <phoneticPr fontId="0"/>
  </si>
  <si>
    <t>愛知県豊橋市西幸町字幸２２－２</t>
    <phoneticPr fontId="0"/>
  </si>
  <si>
    <t>ENDEREÇO</t>
    <phoneticPr fontId="0"/>
  </si>
  <si>
    <t>会社名</t>
    <rPh sb="0" eb="3">
      <t>カイシャメイ</t>
    </rPh>
    <phoneticPr fontId="0"/>
  </si>
  <si>
    <t>EMPRESA</t>
    <phoneticPr fontId="0"/>
  </si>
  <si>
    <t>渡航費用総額　</t>
    <rPh sb="0" eb="3">
      <t>トコウヒ</t>
    </rPh>
    <rPh sb="3" eb="4">
      <t>ヨウ</t>
    </rPh>
    <rPh sb="4" eb="6">
      <t>ソウガク</t>
    </rPh>
    <phoneticPr fontId="0"/>
  </si>
  <si>
    <t>CUSTO TOTAL DA VIAGEM</t>
    <phoneticPr fontId="0"/>
  </si>
  <si>
    <t>日本円</t>
    <rPh sb="0" eb="2">
      <t>ニホン</t>
    </rPh>
    <rPh sb="2" eb="3">
      <t>エン</t>
    </rPh>
    <phoneticPr fontId="0"/>
  </si>
  <si>
    <t xml:space="preserve"> IENE JAPONÊS</t>
    <phoneticPr fontId="0"/>
  </si>
  <si>
    <t>① 上記金額を㈱サンキョウテクノスタッフが全額支払うことについて説明を受けました。</t>
    <rPh sb="32" eb="34">
      <t>セツメイ</t>
    </rPh>
    <rPh sb="35" eb="36">
      <t>ウ</t>
    </rPh>
    <phoneticPr fontId="0"/>
  </si>
  <si>
    <t>日付　</t>
    <rPh sb="0" eb="1">
      <t>ヒ</t>
    </rPh>
    <rPh sb="1" eb="2">
      <t>ツ</t>
    </rPh>
    <phoneticPr fontId="0"/>
  </si>
  <si>
    <t>DATA</t>
    <phoneticPr fontId="0"/>
  </si>
  <si>
    <t xml:space="preserve"> 社員ID</t>
    <rPh sb="1" eb="3">
      <t>シャイン</t>
    </rPh>
    <phoneticPr fontId="0"/>
  </si>
  <si>
    <t xml:space="preserve"> 氏　名</t>
    <rPh sb="1" eb="2">
      <t>シ</t>
    </rPh>
    <rPh sb="3" eb="4">
      <t>メイ</t>
    </rPh>
    <phoneticPr fontId="0"/>
  </si>
  <si>
    <t xml:space="preserve"> NOME</t>
    <phoneticPr fontId="0"/>
  </si>
  <si>
    <t xml:space="preserve"> 生年月日</t>
    <rPh sb="1" eb="3">
      <t>セイネン</t>
    </rPh>
    <rPh sb="3" eb="5">
      <t>ガッピ</t>
    </rPh>
    <phoneticPr fontId="0"/>
  </si>
  <si>
    <t xml:space="preserve"> DATA DE NASCIMENTO</t>
    <phoneticPr fontId="0"/>
  </si>
  <si>
    <t>本　社</t>
    <rPh sb="0" eb="1">
      <t>ホン</t>
    </rPh>
    <rPh sb="2" eb="3">
      <t>シャ</t>
    </rPh>
    <phoneticPr fontId="0"/>
  </si>
  <si>
    <t>⇐</t>
    <phoneticPr fontId="0"/>
  </si>
  <si>
    <t>営　業　所</t>
    <rPh sb="0" eb="1">
      <t>エイ</t>
    </rPh>
    <rPh sb="2" eb="3">
      <t>ゴウ</t>
    </rPh>
    <rPh sb="4" eb="5">
      <t>ショ</t>
    </rPh>
    <phoneticPr fontId="0"/>
  </si>
  <si>
    <t>人材開発課</t>
    <rPh sb="0" eb="2">
      <t>ジンザイ</t>
    </rPh>
    <rPh sb="2" eb="4">
      <t>カイハツ</t>
    </rPh>
    <rPh sb="4" eb="5">
      <t>カ</t>
    </rPh>
    <phoneticPr fontId="0"/>
  </si>
  <si>
    <t>所　長</t>
    <rPh sb="0" eb="1">
      <t>ショ</t>
    </rPh>
    <rPh sb="2" eb="3">
      <t>チョウ</t>
    </rPh>
    <phoneticPr fontId="0"/>
  </si>
  <si>
    <t>担当者</t>
    <rPh sb="0" eb="3">
      <t>タントウシャ</t>
    </rPh>
    <phoneticPr fontId="0"/>
  </si>
  <si>
    <t>保管</t>
    <rPh sb="0" eb="2">
      <t>ホカン</t>
    </rPh>
    <phoneticPr fontId="0"/>
  </si>
  <si>
    <t>データ入力</t>
    <rPh sb="3" eb="5">
      <t>ニュウリョク</t>
    </rPh>
    <phoneticPr fontId="0"/>
  </si>
  <si>
    <t>確認</t>
    <rPh sb="0" eb="2">
      <t>カクニン</t>
    </rPh>
    <phoneticPr fontId="0"/>
  </si>
  <si>
    <t>承認</t>
    <rPh sb="0" eb="2">
      <t>ショウニン</t>
    </rPh>
    <phoneticPr fontId="0"/>
  </si>
  <si>
    <t>作成</t>
    <rPh sb="0" eb="2">
      <t>サクセイ</t>
    </rPh>
    <phoneticPr fontId="0"/>
  </si>
  <si>
    <r>
      <t>{{</t>
    </r>
    <r>
      <rPr>
        <sz val="11"/>
        <color theme="1"/>
        <rFont val="Segoe UI Emoji"/>
        <family val="2"/>
      </rPr>
      <t>🚫</t>
    </r>
    <r>
      <rPr>
        <sz val="11"/>
        <color theme="1"/>
        <rFont val="游ゴシック"/>
        <family val="3"/>
        <charset val="128"/>
        <scheme val="minor"/>
      </rPr>
      <t>社員IDの重複}}</t>
    </r>
    <phoneticPr fontId="8"/>
  </si>
  <si>
    <t>{{住所詳細(個人)(G)}}</t>
    <rPh sb="2" eb="4">
      <t>ジュウショ</t>
    </rPh>
    <rPh sb="4" eb="6">
      <t>ショウサイ</t>
    </rPh>
    <rPh sb="7" eb="9">
      <t>コジン</t>
    </rPh>
    <phoneticPr fontId="8"/>
  </si>
  <si>
    <t>Person.P_Street</t>
    <phoneticPr fontId="8"/>
  </si>
  <si>
    <t>Person.U_3D5FF80A5778B97D9A1691856E9BB6</t>
  </si>
  <si>
    <t>{{社員 ID（STEMS）}}</t>
    <phoneticPr fontId="8"/>
  </si>
  <si>
    <r>
      <rPr>
        <sz val="14"/>
        <color theme="1"/>
        <rFont val="ＭＳ Ｐゴシック"/>
        <family val="3"/>
        <charset val="128"/>
      </rPr>
      <t>株式会社サンキョウテクノスタッフ</t>
    </r>
    <r>
      <rPr>
        <sz val="14"/>
        <color theme="1"/>
        <rFont val="Arial Narrow"/>
        <family val="2"/>
      </rPr>
      <t xml:space="preserve">    </t>
    </r>
    <r>
      <rPr>
        <sz val="14"/>
        <color theme="1"/>
        <rFont val="ＭＳ Ｐゴシック"/>
        <family val="3"/>
        <charset val="128"/>
      </rPr>
      <t>殿</t>
    </r>
  </si>
  <si>
    <r>
      <rPr>
        <sz val="14"/>
        <color rgb="FF0070C0"/>
        <rFont val="ＭＳ Ｐゴシック"/>
        <family val="3"/>
        <charset val="128"/>
      </rPr>
      <t>①</t>
    </r>
    <r>
      <rPr>
        <sz val="14"/>
        <color rgb="FF0070C0"/>
        <rFont val="Arial Narrow"/>
        <family val="2"/>
      </rPr>
      <t xml:space="preserve"> Recebi a explicação de que o valor acima mencionado será pago integralmente pela Sankyo Techno Staff Co., Ltd.</t>
    </r>
  </si>
  <si>
    <r>
      <t xml:space="preserve"> </t>
    </r>
    <r>
      <rPr>
        <sz val="14"/>
        <color theme="1"/>
        <rFont val="ＭＳ Ｐゴシック"/>
        <family val="3"/>
        <charset val="128"/>
      </rPr>
      <t xml:space="preserve">同意署名
</t>
    </r>
    <r>
      <rPr>
        <sz val="14"/>
        <color rgb="FF0070C0"/>
        <rFont val="Arial Narrow"/>
        <family val="2"/>
      </rPr>
      <t xml:space="preserve"> ASSINATURA DE CONSENTIMENTO</t>
    </r>
  </si>
  <si>
    <t>Resume.U_2A7DFBAD5815E9E455D29748692422</t>
    <phoneticPr fontId="8"/>
  </si>
  <si>
    <r>
      <t>{{🚫</t>
    </r>
    <r>
      <rPr>
        <sz val="14"/>
        <color theme="1"/>
        <rFont val="ＭＳ Ｐゴシック"/>
        <family val="3"/>
        <charset val="128"/>
      </rPr>
      <t>生年月日</t>
    </r>
    <r>
      <rPr>
        <sz val="14"/>
        <color theme="1"/>
        <rFont val="Arial Narrow"/>
        <family val="2"/>
      </rPr>
      <t>(</t>
    </r>
    <r>
      <rPr>
        <sz val="14"/>
        <color theme="1"/>
        <rFont val="ＭＳ Ｐゴシック"/>
        <family val="3"/>
        <charset val="128"/>
      </rPr>
      <t>検索用</t>
    </r>
    <r>
      <rPr>
        <sz val="14"/>
        <color theme="1"/>
        <rFont val="Arial Narrow"/>
        <family val="2"/>
      </rPr>
      <t>)}}</t>
    </r>
    <phoneticPr fontId="8"/>
  </si>
</sst>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7">
    <numFmt numFmtId="5" formatCode="&quot;¥&quot;#,##0;&quot;¥&quot;\-#,##0"/>
    <numFmt numFmtId="6" formatCode="&quot;¥&quot;#,##0;[Red]&quot;¥&quot;\-#,##0"/>
    <numFmt numFmtId="176" formatCode="yyyy&quot;年&quot;m&quot;月&quot;d&quot;日&quot;;@"/>
    <numFmt numFmtId="177" formatCode="[$-F800]dddd\,\ mmmm\ dd\,\ yyyy"/>
    <numFmt numFmtId="178" formatCode="[$-816]d\ &quot;de&quot;\ mmmm\ &quot;de&quot;\ yyyy;@"/>
    <numFmt numFmtId="179" formatCode="yyyy&quot;年&quot;mm&quot;月&quot;dd&quot;日&quot;;@"/>
    <numFmt numFmtId="180" formatCode="&quot;¥&quot;#,##0_);[Red]\(&quot;¥&quot;#,##0\)"/>
  </numFmts>
  <fonts count="29" x14ac:knownFonts="1">
    <font>
      <sz val="11"/>
      <color theme="1"/>
      <name val="游ゴシック"/>
      <family val="2"/>
      <charset val="128"/>
      <scheme val="minor"/>
    </font>
    <font>
      <sz val="11"/>
      <color theme="1"/>
      <name val="游ゴシック"/>
      <family val="2"/>
      <charset val="128"/>
      <scheme val="minor"/>
    </font>
    <font>
      <sz val="11"/>
      <name val="游ゴシック"/>
      <family val="2"/>
      <charset val="128"/>
      <scheme val="minor"/>
    </font>
    <font>
      <sz val="11"/>
      <name val="ＭＳ Ｐゴシック"/>
      <family val="3"/>
      <charset val="128"/>
    </font>
    <font>
      <sz val="11"/>
      <name val="Arial Narrow"/>
      <family val="2"/>
    </font>
    <font>
      <sz val="12"/>
      <name val="Arial Narrow"/>
      <family val="2"/>
    </font>
    <font>
      <sz val="14"/>
      <name val="Arial Narrow"/>
      <family val="2"/>
    </font>
    <font>
      <sz val="8"/>
      <name val="Arial Narrow"/>
      <family val="2"/>
    </font>
    <font>
      <sz val="6"/>
      <name val="游ゴシック"/>
      <family val="2"/>
      <charset val="128"/>
      <scheme val="minor"/>
    </font>
    <font>
      <sz val="11"/>
      <color theme="1"/>
      <name val="Arial Narrow"/>
      <family val="2"/>
    </font>
    <font>
      <sz val="12"/>
      <color theme="1"/>
      <name val="Arial Narrow"/>
      <family val="2"/>
    </font>
    <font>
      <sz val="14"/>
      <color theme="1"/>
      <name val="Arial Narrow"/>
      <family val="2"/>
    </font>
    <font>
      <sz val="12"/>
      <color theme="1"/>
      <name val="ＭＳ Ｐゴシック"/>
      <family val="3"/>
      <charset val="128"/>
    </font>
    <font>
      <sz val="8"/>
      <color theme="1"/>
      <name val="Arial Narrow"/>
      <family val="2"/>
    </font>
    <font>
      <sz val="8"/>
      <color theme="1"/>
      <name val="ＭＳ Ｐゴシック"/>
      <family val="3"/>
      <charset val="128"/>
    </font>
    <font>
      <sz val="12"/>
      <color rgb="FFFF0000"/>
      <name val="ＭＳ Ｐゴシック"/>
      <family val="3"/>
      <charset val="128"/>
    </font>
    <font>
      <sz val="16"/>
      <color rgb="FFFF0000"/>
      <name val="Arial Narrow"/>
      <family val="2"/>
    </font>
    <font>
      <sz val="12"/>
      <color rgb="FFFF0000"/>
      <name val="Arial Narrow"/>
      <family val="2"/>
    </font>
    <font>
      <sz val="14"/>
      <color theme="1"/>
      <name val="游ゴシック"/>
      <family val="2"/>
      <charset val="128"/>
      <scheme val="minor"/>
    </font>
    <font>
      <sz val="11"/>
      <color theme="1"/>
      <name val="ＭＳ Ｐゴシック"/>
      <family val="3"/>
      <charset val="128"/>
    </font>
    <font>
      <sz val="14"/>
      <color theme="1"/>
      <name val="ＭＳ Ｐゴシック"/>
      <family val="3"/>
      <charset val="128"/>
    </font>
    <font>
      <sz val="10"/>
      <color theme="0" tint="-0.34998626667073579"/>
      <name val="ＭＳ Ｐゴシック"/>
      <family val="3"/>
      <charset val="128"/>
    </font>
    <font>
      <sz val="11"/>
      <color theme="1"/>
      <name val="游ゴシック"/>
      <family val="3"/>
      <charset val="128"/>
      <scheme val="minor"/>
    </font>
    <font>
      <sz val="11"/>
      <color theme="1"/>
      <name val="Segoe UI Emoji"/>
      <family val="2"/>
    </font>
    <font>
      <u/>
      <sz val="14"/>
      <color theme="1"/>
      <name val="Arial Narrow"/>
      <family val="2"/>
    </font>
    <font>
      <sz val="14"/>
      <color rgb="FF0070C0"/>
      <name val="Arial Narrow"/>
      <family val="2"/>
    </font>
    <font>
      <sz val="14"/>
      <color rgb="FF0070C0"/>
      <name val="ＭＳ Ｐゴシック"/>
      <family val="3"/>
      <charset val="128"/>
    </font>
    <font>
      <sz val="14"/>
      <color theme="0" tint="-0.34998626667073579"/>
      <name val="ＭＳ Ｐゴシック"/>
      <family val="3"/>
      <charset val="128"/>
    </font>
    <font>
      <sz val="22"/>
      <color theme="1"/>
      <name val="ＭＳ Ｐゴシック"/>
      <family val="3"/>
      <charset val="128"/>
    </font>
  </fonts>
  <fills count="3">
    <fill>
      <patternFill patternType="none"/>
    </fill>
    <fill>
      <patternFill patternType="gray125"/>
    </fill>
    <fill>
      <patternFill patternType="solid">
        <fgColor theme="0" tint="-0.14999847407452621"/>
        <bgColor indexed="64"/>
      </patternFill>
    </fill>
  </fills>
  <borders count="46">
    <border>
      <left/>
      <right/>
      <top/>
      <bottom/>
      <diagonal/>
    </border>
    <border>
      <left style="double">
        <color auto="1"/>
      </left>
      <right/>
      <top style="double">
        <color auto="1"/>
      </top>
      <bottom/>
      <diagonal/>
    </border>
    <border>
      <left/>
      <right/>
      <top style="double">
        <color auto="1"/>
      </top>
      <bottom/>
      <diagonal/>
    </border>
    <border>
      <left/>
      <right style="double">
        <color auto="1"/>
      </right>
      <top style="double">
        <color auto="1"/>
      </top>
      <bottom/>
      <diagonal/>
    </border>
    <border>
      <left style="double">
        <color auto="1"/>
      </left>
      <right/>
      <top/>
      <bottom/>
      <diagonal/>
    </border>
    <border>
      <left/>
      <right style="double">
        <color auto="1"/>
      </right>
      <top/>
      <bottom/>
      <diagonal/>
    </border>
    <border>
      <left/>
      <right/>
      <top/>
      <bottom style="thin">
        <color indexed="64"/>
      </bottom>
      <diagonal/>
    </border>
    <border>
      <left style="hair">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hair">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right style="thin">
        <color indexed="64"/>
      </right>
      <top/>
      <bottom/>
      <diagonal/>
    </border>
    <border>
      <left style="double">
        <color auto="1"/>
      </left>
      <right/>
      <top/>
      <bottom style="double">
        <color auto="1"/>
      </bottom>
      <diagonal/>
    </border>
    <border>
      <left/>
      <right/>
      <top/>
      <bottom style="double">
        <color auto="1"/>
      </bottom>
      <diagonal/>
    </border>
    <border>
      <left/>
      <right style="double">
        <color auto="1"/>
      </right>
      <top/>
      <bottom style="double">
        <color auto="1"/>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hair">
        <color indexed="64"/>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hair">
        <color indexed="64"/>
      </right>
      <top style="hair">
        <color indexed="64"/>
      </top>
      <bottom style="hair">
        <color indexed="64"/>
      </bottom>
      <diagonal/>
    </border>
    <border>
      <left/>
      <right style="thin">
        <color indexed="64"/>
      </right>
      <top style="hair">
        <color indexed="64"/>
      </top>
      <bottom style="hair">
        <color indexed="64"/>
      </bottom>
      <diagonal/>
    </border>
    <border>
      <left/>
      <right style="hair">
        <color indexed="64"/>
      </right>
      <top/>
      <bottom style="thin">
        <color indexed="64"/>
      </bottom>
      <diagonal/>
    </border>
    <border>
      <left style="hair">
        <color indexed="64"/>
      </left>
      <right/>
      <top style="hair">
        <color indexed="64"/>
      </top>
      <bottom/>
      <diagonal/>
    </border>
    <border>
      <left/>
      <right style="hair">
        <color indexed="64"/>
      </right>
      <top style="hair">
        <color indexed="64"/>
      </top>
      <bottom/>
      <diagonal/>
    </border>
    <border>
      <left/>
      <right style="hair">
        <color indexed="64"/>
      </right>
      <top style="thin">
        <color indexed="64"/>
      </top>
      <bottom style="thin">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hair">
        <color indexed="64"/>
      </right>
      <top style="hair">
        <color indexed="64"/>
      </top>
      <bottom style="thin">
        <color indexed="64"/>
      </bottom>
      <diagonal/>
    </border>
    <border>
      <left style="hair">
        <color indexed="64"/>
      </left>
      <right/>
      <top style="hair">
        <color indexed="64"/>
      </top>
      <bottom style="thin">
        <color indexed="64"/>
      </bottom>
      <diagonal/>
    </border>
    <border>
      <left/>
      <right style="thin">
        <color indexed="64"/>
      </right>
      <top style="hair">
        <color indexed="64"/>
      </top>
      <bottom style="thin">
        <color indexed="64"/>
      </bottom>
      <diagonal/>
    </border>
    <border>
      <left/>
      <right style="hair">
        <color indexed="64"/>
      </right>
      <top style="thin">
        <color indexed="64"/>
      </top>
      <bottom/>
      <diagonal/>
    </border>
    <border>
      <left/>
      <right style="hair">
        <color indexed="64"/>
      </right>
      <top/>
      <bottom/>
      <diagonal/>
    </border>
    <border>
      <left/>
      <right/>
      <top/>
      <bottom style="dotted">
        <color indexed="64"/>
      </bottom>
      <diagonal/>
    </border>
    <border>
      <left/>
      <right/>
      <top style="dotted">
        <color indexed="64"/>
      </top>
      <bottom style="thin">
        <color indexed="64"/>
      </bottom>
      <diagonal/>
    </border>
    <border>
      <left style="thin">
        <color indexed="64"/>
      </left>
      <right style="thin">
        <color indexed="64"/>
      </right>
      <top style="thin">
        <color indexed="64"/>
      </top>
      <bottom style="thin">
        <color indexed="64"/>
      </bottom>
      <diagonal/>
    </border>
  </borders>
  <cellStyleXfs count="3">
    <xf numFmtId="0" fontId="0" fillId="0" borderId="0">
      <alignment vertical="center"/>
    </xf>
    <xf numFmtId="6" fontId="1" fillId="0" borderId="0" applyFont="0" applyFill="0" applyBorder="0" applyAlignment="0" applyProtection="0">
      <alignment vertical="center"/>
    </xf>
    <xf numFmtId="0" fontId="3" fillId="0" borderId="0">
      <alignment vertical="center"/>
    </xf>
  </cellStyleXfs>
  <cellXfs count="140">
    <xf numFmtId="0" fontId="0" fillId="0" borderId="0" xfId="0">
      <alignment vertical="center"/>
    </xf>
    <xf numFmtId="0" fontId="2" fillId="0" borderId="0" xfId="0" applyFont="1">
      <alignment vertical="center"/>
    </xf>
    <xf numFmtId="0" fontId="5" fillId="0" borderId="0" xfId="0" applyFont="1">
      <alignment vertical="center"/>
    </xf>
    <xf numFmtId="0" fontId="4" fillId="0" borderId="0" xfId="0" applyFont="1">
      <alignment vertical="center"/>
    </xf>
    <xf numFmtId="49" fontId="0" fillId="0" borderId="0" xfId="0" applyNumberFormat="1">
      <alignment vertical="center"/>
    </xf>
    <xf numFmtId="0" fontId="9" fillId="0" borderId="0" xfId="0" applyFont="1">
      <alignment vertical="center"/>
    </xf>
    <xf numFmtId="0" fontId="10" fillId="0" borderId="0" xfId="0" applyFont="1">
      <alignment vertical="center"/>
    </xf>
    <xf numFmtId="176" fontId="17" fillId="0" borderId="0" xfId="0" applyNumberFormat="1" applyFont="1">
      <alignment vertical="center"/>
    </xf>
    <xf numFmtId="0" fontId="11" fillId="0" borderId="0" xfId="0" applyFont="1">
      <alignment vertical="center"/>
    </xf>
    <xf numFmtId="0" fontId="18" fillId="0" borderId="0" xfId="0" applyFont="1">
      <alignment vertical="center"/>
    </xf>
    <xf numFmtId="0" fontId="20" fillId="0" borderId="2" xfId="0" applyFont="1" applyBorder="1" applyAlignment="1">
      <alignment horizontal="center" vertical="center" wrapText="1"/>
    </xf>
    <xf numFmtId="0" fontId="18" fillId="0" borderId="1" xfId="0" applyFont="1" applyBorder="1">
      <alignment vertical="center"/>
    </xf>
    <xf numFmtId="0" fontId="24" fillId="0" borderId="2" xfId="0" applyFont="1" applyBorder="1" applyAlignment="1"/>
    <xf numFmtId="0" fontId="20" fillId="0" borderId="4" xfId="0" applyFont="1" applyBorder="1">
      <alignment vertical="center"/>
    </xf>
    <xf numFmtId="0" fontId="20" fillId="0" borderId="5" xfId="0" applyFont="1" applyBorder="1">
      <alignment vertical="center"/>
    </xf>
    <xf numFmtId="0" fontId="11" fillId="0" borderId="4" xfId="0" applyFont="1" applyBorder="1">
      <alignment vertical="center"/>
    </xf>
    <xf numFmtId="0" fontId="11" fillId="0" borderId="5" xfId="0" applyFont="1" applyBorder="1">
      <alignment vertical="center"/>
    </xf>
    <xf numFmtId="0" fontId="11" fillId="0" borderId="4" xfId="0" applyFont="1" applyBorder="1" applyAlignment="1">
      <alignment horizontal="center" vertical="center"/>
    </xf>
    <xf numFmtId="0" fontId="11" fillId="0" borderId="0" xfId="0" applyFont="1" applyAlignment="1">
      <alignment horizontal="center" vertical="center"/>
    </xf>
    <xf numFmtId="0" fontId="11" fillId="0" borderId="5" xfId="0" applyFont="1" applyBorder="1" applyAlignment="1">
      <alignment horizontal="center" vertical="center"/>
    </xf>
    <xf numFmtId="0" fontId="11" fillId="0" borderId="0" xfId="0" applyFont="1" applyAlignment="1">
      <alignment vertical="center" wrapText="1"/>
    </xf>
    <xf numFmtId="6" fontId="11" fillId="0" borderId="0" xfId="1" applyFont="1" applyFill="1" applyBorder="1" applyAlignment="1" applyProtection="1">
      <alignment vertical="center"/>
    </xf>
    <xf numFmtId="5" fontId="11" fillId="0" borderId="0" xfId="0" applyNumberFormat="1" applyFont="1" applyAlignment="1" applyProtection="1">
      <alignment horizontal="center" vertical="center"/>
      <protection locked="0"/>
    </xf>
    <xf numFmtId="0" fontId="18" fillId="0" borderId="4" xfId="0" applyFont="1" applyBorder="1">
      <alignment vertical="center"/>
    </xf>
    <xf numFmtId="0" fontId="18" fillId="0" borderId="5" xfId="0" applyFont="1" applyBorder="1">
      <alignment vertical="center"/>
    </xf>
    <xf numFmtId="0" fontId="20" fillId="2" borderId="10" xfId="0" applyFont="1" applyFill="1" applyBorder="1" applyAlignment="1">
      <alignment horizontal="right" vertical="center"/>
    </xf>
    <xf numFmtId="0" fontId="20" fillId="0" borderId="11" xfId="0" applyFont="1" applyBorder="1" applyAlignment="1">
      <alignment horizontal="right" vertical="center"/>
    </xf>
    <xf numFmtId="0" fontId="11" fillId="0" borderId="11" xfId="0" applyFont="1" applyBorder="1" applyAlignment="1">
      <alignment horizontal="left" vertical="center"/>
    </xf>
    <xf numFmtId="176" fontId="11" fillId="0" borderId="11" xfId="0" applyNumberFormat="1" applyFont="1" applyBorder="1" applyAlignment="1">
      <alignment horizontal="left" vertical="center" indent="1"/>
    </xf>
    <xf numFmtId="0" fontId="11" fillId="0" borderId="17" xfId="0" applyFont="1" applyBorder="1">
      <alignment vertical="center"/>
    </xf>
    <xf numFmtId="0" fontId="11" fillId="0" borderId="4" xfId="0" applyFont="1" applyBorder="1" applyAlignment="1">
      <alignment vertical="center" wrapText="1"/>
    </xf>
    <xf numFmtId="0" fontId="11" fillId="0" borderId="0" xfId="0" applyFont="1" applyAlignment="1">
      <alignment vertical="top" wrapText="1"/>
    </xf>
    <xf numFmtId="0" fontId="11" fillId="0" borderId="17" xfId="0" applyFont="1" applyBorder="1" applyAlignment="1">
      <alignment vertical="top" wrapText="1"/>
    </xf>
    <xf numFmtId="0" fontId="11" fillId="0" borderId="6" xfId="0" applyFont="1" applyBorder="1" applyAlignment="1">
      <alignment vertical="top" wrapText="1"/>
    </xf>
    <xf numFmtId="0" fontId="11" fillId="0" borderId="13" xfId="0" applyFont="1" applyBorder="1" applyAlignment="1">
      <alignment vertical="top" wrapText="1"/>
    </xf>
    <xf numFmtId="0" fontId="11" fillId="0" borderId="18" xfId="0" applyFont="1" applyBorder="1">
      <alignment vertical="center"/>
    </xf>
    <xf numFmtId="0" fontId="11" fillId="0" borderId="19" xfId="0" applyFont="1" applyBorder="1" applyAlignment="1">
      <alignment vertical="top" wrapText="1"/>
    </xf>
    <xf numFmtId="0" fontId="11" fillId="0" borderId="20" xfId="0" applyFont="1" applyBorder="1">
      <alignment vertical="center"/>
    </xf>
    <xf numFmtId="0" fontId="11" fillId="0" borderId="2" xfId="0" applyFont="1" applyBorder="1" applyAlignment="1">
      <alignment vertical="center" wrapText="1"/>
    </xf>
    <xf numFmtId="0" fontId="11" fillId="0" borderId="2" xfId="0" applyFont="1" applyBorder="1" applyAlignment="1">
      <alignment horizontal="left" vertical="center" shrinkToFit="1"/>
    </xf>
    <xf numFmtId="0" fontId="11" fillId="0" borderId="2" xfId="0" applyFont="1" applyBorder="1" applyAlignment="1">
      <alignment vertical="top" wrapText="1"/>
    </xf>
    <xf numFmtId="0" fontId="11" fillId="0" borderId="2" xfId="0" applyFont="1" applyBorder="1" applyAlignment="1">
      <alignment horizontal="center" vertical="top" wrapText="1"/>
    </xf>
    <xf numFmtId="0" fontId="11" fillId="0" borderId="2" xfId="0" applyFont="1" applyBorder="1">
      <alignment vertical="center"/>
    </xf>
    <xf numFmtId="0" fontId="20" fillId="0" borderId="14" xfId="0" applyFont="1" applyBorder="1" applyAlignment="1">
      <alignment horizontal="center" vertical="center" shrinkToFit="1"/>
    </xf>
    <xf numFmtId="0" fontId="19" fillId="0" borderId="14" xfId="0" applyFont="1" applyBorder="1" applyAlignment="1">
      <alignment horizontal="center" vertical="center"/>
    </xf>
    <xf numFmtId="0" fontId="25" fillId="2" borderId="28" xfId="0" applyFont="1" applyFill="1" applyBorder="1" applyAlignment="1">
      <alignment horizontal="left" vertical="center" wrapText="1"/>
    </xf>
    <xf numFmtId="0" fontId="25" fillId="2" borderId="29" xfId="0" applyFont="1" applyFill="1" applyBorder="1" applyAlignment="1">
      <alignment horizontal="left" vertical="center" wrapText="1"/>
    </xf>
    <xf numFmtId="0" fontId="25" fillId="2" borderId="30" xfId="0" applyFont="1" applyFill="1" applyBorder="1" applyAlignment="1">
      <alignment horizontal="left" vertical="center" wrapText="1"/>
    </xf>
    <xf numFmtId="0" fontId="11" fillId="0" borderId="29" xfId="0" applyFont="1" applyBorder="1" applyAlignment="1">
      <alignment horizontal="left" vertical="center" shrinkToFit="1"/>
    </xf>
    <xf numFmtId="0" fontId="11" fillId="0" borderId="31" xfId="0" applyFont="1" applyBorder="1" applyAlignment="1">
      <alignment horizontal="left" vertical="center" shrinkToFit="1"/>
    </xf>
    <xf numFmtId="0" fontId="7" fillId="0" borderId="2" xfId="0" applyFont="1" applyBorder="1" applyAlignment="1">
      <alignment horizontal="right" vertical="center" indent="1"/>
    </xf>
    <xf numFmtId="0" fontId="7" fillId="0" borderId="3" xfId="0" applyFont="1" applyBorder="1" applyAlignment="1">
      <alignment horizontal="right" vertical="center" indent="1"/>
    </xf>
    <xf numFmtId="0" fontId="28" fillId="0" borderId="0" xfId="0" applyFont="1" applyAlignment="1">
      <alignment horizontal="center" vertical="center"/>
    </xf>
    <xf numFmtId="0" fontId="25" fillId="0" borderId="0" xfId="0" applyFont="1" applyAlignment="1">
      <alignment horizontal="center" vertical="center"/>
    </xf>
    <xf numFmtId="0" fontId="20" fillId="2" borderId="24" xfId="0" applyFont="1" applyFill="1" applyBorder="1" applyAlignment="1">
      <alignment horizontal="left" vertical="center" wrapText="1"/>
    </xf>
    <xf numFmtId="0" fontId="20" fillId="2" borderId="25" xfId="0" applyFont="1" applyFill="1" applyBorder="1" applyAlignment="1">
      <alignment horizontal="left" vertical="center" wrapText="1"/>
    </xf>
    <xf numFmtId="0" fontId="20" fillId="2" borderId="26" xfId="0" applyFont="1" applyFill="1" applyBorder="1" applyAlignment="1">
      <alignment horizontal="left" vertical="center" wrapText="1"/>
    </xf>
    <xf numFmtId="0" fontId="20" fillId="0" borderId="25" xfId="0" applyFont="1" applyBorder="1" applyAlignment="1">
      <alignment horizontal="left" vertical="center" wrapText="1"/>
    </xf>
    <xf numFmtId="0" fontId="20" fillId="0" borderId="27" xfId="0" applyFont="1" applyBorder="1" applyAlignment="1">
      <alignment horizontal="left" vertical="center" wrapText="1"/>
    </xf>
    <xf numFmtId="176" fontId="25" fillId="0" borderId="0" xfId="0" applyNumberFormat="1" applyFont="1" applyAlignment="1">
      <alignment horizontal="left" vertical="top" wrapText="1"/>
    </xf>
    <xf numFmtId="176" fontId="15" fillId="0" borderId="0" xfId="0" applyNumberFormat="1" applyFont="1">
      <alignment vertical="center"/>
    </xf>
    <xf numFmtId="178" fontId="16" fillId="0" borderId="0" xfId="0" applyNumberFormat="1" applyFont="1" applyAlignment="1">
      <alignment vertical="center" shrinkToFit="1"/>
    </xf>
    <xf numFmtId="0" fontId="20" fillId="2" borderId="28" xfId="0" applyFont="1" applyFill="1" applyBorder="1" applyAlignment="1">
      <alignment horizontal="left" vertical="center" wrapText="1"/>
    </xf>
    <xf numFmtId="0" fontId="20" fillId="2" borderId="29" xfId="0" applyFont="1" applyFill="1" applyBorder="1" applyAlignment="1">
      <alignment horizontal="left" vertical="center" wrapText="1"/>
    </xf>
    <xf numFmtId="0" fontId="20" fillId="2" borderId="30" xfId="0" applyFont="1" applyFill="1" applyBorder="1" applyAlignment="1">
      <alignment horizontal="left" vertical="center" wrapText="1"/>
    </xf>
    <xf numFmtId="0" fontId="11" fillId="0" borderId="29" xfId="0" applyFont="1" applyBorder="1" applyAlignment="1">
      <alignment horizontal="left" vertical="center" wrapText="1"/>
    </xf>
    <xf numFmtId="0" fontId="11" fillId="0" borderId="31" xfId="0" applyFont="1" applyBorder="1" applyAlignment="1">
      <alignment horizontal="left" vertical="center" wrapText="1"/>
    </xf>
    <xf numFmtId="0" fontId="25" fillId="2" borderId="23" xfId="0" applyFont="1" applyFill="1" applyBorder="1" applyAlignment="1">
      <alignment horizontal="left" vertical="center" wrapText="1"/>
    </xf>
    <xf numFmtId="0" fontId="25" fillId="2" borderId="6" xfId="0" applyFont="1" applyFill="1" applyBorder="1" applyAlignment="1">
      <alignment horizontal="left" vertical="center" wrapText="1"/>
    </xf>
    <xf numFmtId="0" fontId="25" fillId="2" borderId="32" xfId="0" applyFont="1" applyFill="1" applyBorder="1" applyAlignment="1">
      <alignment horizontal="left" vertical="center" wrapText="1"/>
    </xf>
    <xf numFmtId="0" fontId="11" fillId="0" borderId="6" xfId="0" applyFont="1" applyBorder="1" applyAlignment="1">
      <alignment horizontal="left" vertical="center" wrapText="1"/>
    </xf>
    <xf numFmtId="0" fontId="11" fillId="0" borderId="13" xfId="0" applyFont="1" applyBorder="1" applyAlignment="1">
      <alignment horizontal="left" vertical="center" wrapText="1"/>
    </xf>
    <xf numFmtId="0" fontId="20" fillId="2" borderId="24" xfId="0" applyFont="1" applyFill="1" applyBorder="1" applyAlignment="1">
      <alignment horizontal="right" vertical="center" indent="1"/>
    </xf>
    <xf numFmtId="0" fontId="20" fillId="2" borderId="25" xfId="0" applyFont="1" applyFill="1" applyBorder="1" applyAlignment="1">
      <alignment horizontal="right" vertical="center" indent="1"/>
    </xf>
    <xf numFmtId="0" fontId="25" fillId="2" borderId="25" xfId="0" applyFont="1" applyFill="1" applyBorder="1" applyAlignment="1">
      <alignment horizontal="left" vertical="center" indent="1"/>
    </xf>
    <xf numFmtId="0" fontId="6" fillId="2" borderId="25" xfId="0" applyFont="1" applyFill="1" applyBorder="1" applyAlignment="1">
      <alignment horizontal="left" vertical="center" indent="1"/>
    </xf>
    <xf numFmtId="0" fontId="6" fillId="2" borderId="27" xfId="0" applyFont="1" applyFill="1" applyBorder="1" applyAlignment="1">
      <alignment horizontal="left" vertical="center" indent="1"/>
    </xf>
    <xf numFmtId="0" fontId="20" fillId="2" borderId="23" xfId="0" applyFont="1" applyFill="1" applyBorder="1" applyAlignment="1">
      <alignment horizontal="center" vertical="center" wrapText="1"/>
    </xf>
    <xf numFmtId="0" fontId="20" fillId="2" borderId="10" xfId="0" applyFont="1" applyFill="1" applyBorder="1" applyAlignment="1">
      <alignment horizontal="center" vertical="center" wrapText="1"/>
    </xf>
    <xf numFmtId="0" fontId="25" fillId="2" borderId="33" xfId="0" applyFont="1" applyFill="1" applyBorder="1" applyAlignment="1">
      <alignment horizontal="left" vertical="center" wrapText="1"/>
    </xf>
    <xf numFmtId="0" fontId="25" fillId="2" borderId="34" xfId="0" applyFont="1" applyFill="1" applyBorder="1" applyAlignment="1">
      <alignment horizontal="left" vertical="center" wrapText="1"/>
    </xf>
    <xf numFmtId="0" fontId="25" fillId="2" borderId="12" xfId="0" applyFont="1" applyFill="1" applyBorder="1" applyAlignment="1">
      <alignment horizontal="left" vertical="center" wrapText="1"/>
    </xf>
    <xf numFmtId="180" fontId="20" fillId="0" borderId="0" xfId="1" applyNumberFormat="1" applyFont="1" applyFill="1" applyBorder="1" applyAlignment="1" applyProtection="1">
      <alignment horizontal="left" vertical="center" indent="1" shrinkToFit="1"/>
    </xf>
    <xf numFmtId="180" fontId="20" fillId="0" borderId="17" xfId="1" applyNumberFormat="1" applyFont="1" applyFill="1" applyBorder="1" applyAlignment="1" applyProtection="1">
      <alignment horizontal="left" vertical="center" indent="1" shrinkToFit="1"/>
    </xf>
    <xf numFmtId="180" fontId="20" fillId="0" borderId="6" xfId="1" applyNumberFormat="1" applyFont="1" applyFill="1" applyBorder="1" applyAlignment="1" applyProtection="1">
      <alignment horizontal="left" vertical="center" indent="1" shrinkToFit="1"/>
    </xf>
    <xf numFmtId="180" fontId="20" fillId="0" borderId="13" xfId="1" applyNumberFormat="1" applyFont="1" applyFill="1" applyBorder="1" applyAlignment="1" applyProtection="1">
      <alignment horizontal="left" vertical="center" indent="1" shrinkToFit="1"/>
    </xf>
    <xf numFmtId="176" fontId="20" fillId="0" borderId="0" xfId="0" applyNumberFormat="1" applyFont="1" applyAlignment="1">
      <alignment horizontal="left" vertical="center"/>
    </xf>
    <xf numFmtId="176" fontId="12" fillId="0" borderId="0" xfId="0" applyNumberFormat="1" applyFont="1" applyAlignment="1">
      <alignment horizontal="left" vertical="center"/>
    </xf>
    <xf numFmtId="0" fontId="11" fillId="2" borderId="22" xfId="0" applyFont="1" applyFill="1" applyBorder="1" applyAlignment="1">
      <alignment horizontal="left" vertical="center" wrapText="1" shrinkToFit="1"/>
    </xf>
    <xf numFmtId="0" fontId="11" fillId="2" borderId="0" xfId="0" applyFont="1" applyFill="1" applyAlignment="1">
      <alignment horizontal="left" vertical="center" wrapText="1" shrinkToFit="1"/>
    </xf>
    <xf numFmtId="0" fontId="11" fillId="2" borderId="42" xfId="0" applyFont="1" applyFill="1" applyBorder="1" applyAlignment="1">
      <alignment horizontal="left" vertical="center" wrapText="1" shrinkToFit="1"/>
    </xf>
    <xf numFmtId="0" fontId="11" fillId="2" borderId="23" xfId="0" applyFont="1" applyFill="1" applyBorder="1" applyAlignment="1">
      <alignment horizontal="left" vertical="center" wrapText="1" shrinkToFit="1"/>
    </xf>
    <xf numFmtId="0" fontId="11" fillId="2" borderId="6" xfId="0" applyFont="1" applyFill="1" applyBorder="1" applyAlignment="1">
      <alignment horizontal="left" vertical="center" wrapText="1" shrinkToFit="1"/>
    </xf>
    <xf numFmtId="0" fontId="11" fillId="2" borderId="32" xfId="0" applyFont="1" applyFill="1" applyBorder="1" applyAlignment="1">
      <alignment horizontal="left" vertical="center" wrapText="1" shrinkToFit="1"/>
    </xf>
    <xf numFmtId="0" fontId="11" fillId="0" borderId="43" xfId="0" applyFont="1" applyBorder="1" applyAlignment="1">
      <alignment horizontal="center" vertical="top" wrapText="1"/>
    </xf>
    <xf numFmtId="49" fontId="10" fillId="0" borderId="44" xfId="0" applyNumberFormat="1" applyFont="1" applyBorder="1" applyAlignment="1">
      <alignment horizontal="center" vertical="center" wrapText="1"/>
    </xf>
    <xf numFmtId="0" fontId="10" fillId="0" borderId="44" xfId="0" applyFont="1" applyBorder="1" applyAlignment="1">
      <alignment horizontal="center" vertical="center" wrapText="1"/>
    </xf>
    <xf numFmtId="0" fontId="25" fillId="2" borderId="11" xfId="0" applyFont="1" applyFill="1" applyBorder="1" applyAlignment="1">
      <alignment horizontal="left" vertical="center"/>
    </xf>
    <xf numFmtId="0" fontId="11" fillId="2" borderId="35" xfId="0" applyFont="1" applyFill="1" applyBorder="1" applyAlignment="1">
      <alignment horizontal="left" vertical="center"/>
    </xf>
    <xf numFmtId="179" fontId="11" fillId="0" borderId="11" xfId="0" applyNumberFormat="1" applyFont="1" applyBorder="1" applyAlignment="1">
      <alignment horizontal="left" vertical="center" indent="1"/>
    </xf>
    <xf numFmtId="179" fontId="11" fillId="0" borderId="15" xfId="0" applyNumberFormat="1" applyFont="1" applyBorder="1" applyAlignment="1">
      <alignment horizontal="left" vertical="center" indent="1"/>
    </xf>
    <xf numFmtId="0" fontId="20" fillId="2" borderId="10" xfId="0" applyFont="1" applyFill="1" applyBorder="1" applyAlignment="1">
      <alignment horizontal="left" vertical="center" shrinkToFit="1"/>
    </xf>
    <xf numFmtId="0" fontId="20" fillId="2" borderId="11" xfId="0" applyFont="1" applyFill="1" applyBorder="1" applyAlignment="1">
      <alignment horizontal="left" vertical="center" shrinkToFit="1"/>
    </xf>
    <xf numFmtId="0" fontId="20" fillId="2" borderId="35" xfId="0" applyFont="1" applyFill="1" applyBorder="1" applyAlignment="1">
      <alignment horizontal="left" vertical="center" shrinkToFit="1"/>
    </xf>
    <xf numFmtId="0" fontId="11" fillId="0" borderId="11" xfId="0" applyFont="1" applyBorder="1" applyAlignment="1">
      <alignment horizontal="left" vertical="center" wrapText="1" indent="1"/>
    </xf>
    <xf numFmtId="0" fontId="11" fillId="0" borderId="15" xfId="0" applyFont="1" applyBorder="1" applyAlignment="1">
      <alignment horizontal="left" vertical="center" wrapText="1" indent="1"/>
    </xf>
    <xf numFmtId="0" fontId="20" fillId="2" borderId="24" xfId="0" applyFont="1" applyFill="1" applyBorder="1" applyAlignment="1">
      <alignment horizontal="left" vertical="center" shrinkToFit="1"/>
    </xf>
    <xf numFmtId="0" fontId="20" fillId="2" borderId="25" xfId="0" applyFont="1" applyFill="1" applyBorder="1" applyAlignment="1">
      <alignment horizontal="left" vertical="center" shrinkToFit="1"/>
    </xf>
    <xf numFmtId="0" fontId="20" fillId="2" borderId="26" xfId="0" applyFont="1" applyFill="1" applyBorder="1" applyAlignment="1">
      <alignment horizontal="left" vertical="center" shrinkToFit="1"/>
    </xf>
    <xf numFmtId="49" fontId="11" fillId="0" borderId="25" xfId="0" applyNumberFormat="1" applyFont="1" applyBorder="1" applyAlignment="1">
      <alignment horizontal="left" vertical="center" wrapText="1" indent="1"/>
    </xf>
    <xf numFmtId="0" fontId="11" fillId="0" borderId="25" xfId="0" applyFont="1" applyBorder="1" applyAlignment="1">
      <alignment horizontal="left" vertical="center" wrapText="1" indent="1"/>
    </xf>
    <xf numFmtId="0" fontId="11" fillId="0" borderId="27" xfId="0" applyFont="1" applyBorder="1" applyAlignment="1">
      <alignment horizontal="left" vertical="center" wrapText="1" indent="1"/>
    </xf>
    <xf numFmtId="0" fontId="25" fillId="2" borderId="36" xfId="0" applyFont="1" applyFill="1" applyBorder="1" applyAlignment="1">
      <alignment horizontal="left" vertical="center" shrinkToFit="1"/>
    </xf>
    <xf numFmtId="0" fontId="25" fillId="2" borderId="37" xfId="0" applyFont="1" applyFill="1" applyBorder="1" applyAlignment="1">
      <alignment horizontal="left" vertical="center" shrinkToFit="1"/>
    </xf>
    <xf numFmtId="0" fontId="25" fillId="2" borderId="38" xfId="0" applyFont="1" applyFill="1" applyBorder="1" applyAlignment="1">
      <alignment horizontal="left" vertical="center" shrinkToFit="1"/>
    </xf>
    <xf numFmtId="49" fontId="11" fillId="0" borderId="39" xfId="0" applyNumberFormat="1" applyFont="1" applyBorder="1" applyAlignment="1">
      <alignment horizontal="left" vertical="center" wrapText="1" indent="1"/>
    </xf>
    <xf numFmtId="0" fontId="11" fillId="0" borderId="37" xfId="0" applyFont="1" applyBorder="1" applyAlignment="1">
      <alignment horizontal="left" vertical="center" wrapText="1" indent="1"/>
    </xf>
    <xf numFmtId="0" fontId="11" fillId="0" borderId="40" xfId="0" applyFont="1" applyBorder="1" applyAlignment="1">
      <alignment horizontal="left" vertical="center" wrapText="1" indent="1"/>
    </xf>
    <xf numFmtId="0" fontId="20" fillId="2" borderId="21" xfId="0" applyFont="1" applyFill="1" applyBorder="1" applyAlignment="1">
      <alignment horizontal="left" vertical="center" shrinkToFit="1"/>
    </xf>
    <xf numFmtId="0" fontId="20" fillId="2" borderId="8" xfId="0" applyFont="1" applyFill="1" applyBorder="1" applyAlignment="1">
      <alignment horizontal="left" vertical="center" shrinkToFit="1"/>
    </xf>
    <xf numFmtId="0" fontId="20" fillId="2" borderId="41" xfId="0" applyFont="1" applyFill="1" applyBorder="1" applyAlignment="1">
      <alignment horizontal="left" vertical="center" shrinkToFit="1"/>
    </xf>
    <xf numFmtId="177" fontId="11" fillId="0" borderId="7" xfId="0" applyNumberFormat="1" applyFont="1" applyBorder="1" applyAlignment="1">
      <alignment horizontal="left" vertical="center" wrapText="1" indent="1"/>
    </xf>
    <xf numFmtId="177" fontId="11" fillId="0" borderId="8" xfId="0" applyNumberFormat="1" applyFont="1" applyBorder="1" applyAlignment="1">
      <alignment horizontal="left" vertical="center" wrapText="1" indent="1"/>
    </xf>
    <xf numFmtId="177" fontId="11" fillId="0" borderId="9" xfId="0" applyNumberFormat="1" applyFont="1" applyBorder="1" applyAlignment="1">
      <alignment horizontal="left" vertical="center" wrapText="1" indent="1"/>
    </xf>
    <xf numFmtId="177" fontId="11" fillId="0" borderId="12" xfId="0" applyNumberFormat="1" applyFont="1" applyBorder="1" applyAlignment="1">
      <alignment horizontal="left" vertical="center" wrapText="1" indent="1"/>
    </xf>
    <xf numFmtId="177" fontId="11" fillId="0" borderId="6" xfId="0" applyNumberFormat="1" applyFont="1" applyBorder="1" applyAlignment="1">
      <alignment horizontal="left" vertical="center" wrapText="1" indent="1"/>
    </xf>
    <xf numFmtId="177" fontId="11" fillId="0" borderId="13" xfId="0" applyNumberFormat="1" applyFont="1" applyBorder="1" applyAlignment="1">
      <alignment horizontal="left" vertical="center" wrapText="1" indent="1"/>
    </xf>
    <xf numFmtId="0" fontId="25" fillId="2" borderId="23" xfId="0" applyFont="1" applyFill="1" applyBorder="1" applyAlignment="1">
      <alignment horizontal="left" vertical="center" shrinkToFit="1"/>
    </xf>
    <xf numFmtId="0" fontId="25" fillId="2" borderId="6" xfId="0" applyFont="1" applyFill="1" applyBorder="1" applyAlignment="1">
      <alignment horizontal="left" vertical="center" shrinkToFit="1"/>
    </xf>
    <xf numFmtId="0" fontId="25" fillId="2" borderId="32" xfId="0" applyFont="1" applyFill="1" applyBorder="1" applyAlignment="1">
      <alignment horizontal="left" vertical="center" shrinkToFit="1"/>
    </xf>
    <xf numFmtId="0" fontId="20" fillId="0" borderId="45" xfId="0" applyFont="1" applyBorder="1" applyAlignment="1">
      <alignment horizontal="center" vertical="center" wrapText="1"/>
    </xf>
    <xf numFmtId="0" fontId="11" fillId="0" borderId="45" xfId="0" applyFont="1" applyBorder="1" applyAlignment="1">
      <alignment horizontal="center" vertical="center" wrapText="1"/>
    </xf>
    <xf numFmtId="0" fontId="20" fillId="0" borderId="16" xfId="0" applyFont="1" applyBorder="1" applyAlignment="1">
      <alignment horizontal="center" vertical="center" wrapText="1"/>
    </xf>
    <xf numFmtId="0" fontId="11" fillId="0" borderId="16" xfId="0" applyFont="1" applyBorder="1" applyAlignment="1">
      <alignment horizontal="center" vertical="center" wrapText="1"/>
    </xf>
    <xf numFmtId="0" fontId="27" fillId="0" borderId="45" xfId="0" applyFont="1" applyBorder="1" applyAlignment="1">
      <alignment horizontal="center" vertical="center" shrinkToFit="1"/>
    </xf>
    <xf numFmtId="0" fontId="27" fillId="0" borderId="45" xfId="0" applyFont="1" applyBorder="1" applyAlignment="1">
      <alignment horizontal="center" vertical="center" wrapText="1" shrinkToFit="1"/>
    </xf>
    <xf numFmtId="0" fontId="27" fillId="0" borderId="45" xfId="0" applyFont="1" applyBorder="1" applyAlignment="1">
      <alignment horizontal="center" vertical="center" wrapText="1"/>
    </xf>
    <xf numFmtId="0" fontId="21" fillId="0" borderId="0" xfId="0" applyFont="1" applyAlignment="1">
      <alignment horizontal="center" vertical="center" shrinkToFit="1"/>
    </xf>
    <xf numFmtId="0" fontId="6" fillId="0" borderId="0" xfId="0" applyFont="1" applyAlignment="1">
      <alignment horizontal="left" vertical="center" shrinkToFit="1"/>
    </xf>
    <xf numFmtId="0" fontId="5" fillId="0" borderId="0" xfId="0" applyFont="1" applyAlignment="1">
      <alignment horizontal="center" vertical="center"/>
    </xf>
  </cellXfs>
  <cellStyles count="3">
    <cellStyle name="通貨" xfId="1" builtinId="7"/>
    <cellStyle name="標準" xfId="0" builtinId="0"/>
    <cellStyle name="標準 2" xfI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externalLink" Target="externalLinks/externalLink2.xml"/><Relationship Id="rId7" Type="http://schemas.openxmlformats.org/officeDocument/2006/relationships/sharedStrings" Target="sharedString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192.168.0.100\&#20154;&#26448;&#38283;&#30330;&#35506;\HD%20EXTERNO\&#24467;&#26989;&#21729;&#30331;&#37682;&#31649;&#29702;&#12471;&#12473;&#12486;&#12512;new!\2011&#24180;&#24467;&#26989;&#21729;&#30331;&#37682;&#31649;&#29702;&#12471;&#12473;&#12486;&#12512;.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HD%20EXTERNO\&#24467;&#26989;&#21729;&#30331;&#37682;&#31649;&#29702;&#12471;&#12473;&#12486;&#12512;new!\2011&#24180;&#24467;&#26989;&#21729;&#30331;&#37682;&#31649;&#29702;&#12471;&#12473;&#12486;&#12512;.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E:\&#24467;&#26989;&#21729;&#30331;&#37682;&#31649;&#29702;&#12288;&#12402;&#12394;&#24418;.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目次"/>
      <sheetName val="身上書"/>
      <sheetName val="身上書JP"/>
      <sheetName val="雇用保険・退職報告書"/>
      <sheetName val="寮移動票"/>
      <sheetName val="帰国者清算届"/>
      <sheetName val="退職届"/>
      <sheetName val="車両使用規程"/>
      <sheetName val="前渡金.給与控除"/>
      <sheetName val="入力フォーム"/>
      <sheetName val="データシート"/>
      <sheetName val="退職者"/>
      <sheetName val="業務内容"/>
      <sheetName val="雇用契約書シート"/>
      <sheetName val="個人在籍簿"/>
      <sheetName val="履歴書"/>
      <sheetName val="雇用保険・入社報告書"/>
      <sheetName val="社会保険加入者連絡票"/>
      <sheetName val="備品リース料"/>
      <sheetName val="作業服・駐車所"/>
      <sheetName val="健康診断票"/>
      <sheetName val="扶養控除"/>
      <sheetName val="教育・解雇"/>
      <sheetName val="寮の使用規定"/>
      <sheetName val="TERMO DE COMPROMISSO Ⅲ"/>
      <sheetName val="初期教育理解度"/>
      <sheetName val="初期教育理解度 (2)"/>
      <sheetName val="日常生活品"/>
      <sheetName val="引っ越し費用"/>
      <sheetName val="入社前準備"/>
      <sheetName val="写真"/>
      <sheetName val="光熱費用"/>
      <sheetName val="紹介制度"/>
      <sheetName val="紹介制度経歴"/>
      <sheetName val="紹介制度ハリガミ"/>
      <sheetName val="引っ越し費用経歴"/>
    </sheetNames>
    <sheetDataSet>
      <sheetData sheetId="0"/>
      <sheetData sheetId="1"/>
      <sheetData sheetId="2"/>
      <sheetData sheetId="3"/>
      <sheetData sheetId="4">
        <row r="5">
          <cell r="AR5" t="str">
            <v>Local Trabalho</v>
          </cell>
        </row>
        <row r="6">
          <cell r="A6" t="str">
            <v>Nome</v>
          </cell>
          <cell r="AE6" t="str">
            <v>Morador</v>
          </cell>
        </row>
        <row r="8">
          <cell r="N8" t="str">
            <v>Local Trabalho</v>
          </cell>
          <cell r="AR8" t="str">
            <v>Local Trabalho</v>
          </cell>
        </row>
        <row r="9">
          <cell r="A9" t="str">
            <v>Morador</v>
          </cell>
          <cell r="AE9" t="str">
            <v>Morador</v>
          </cell>
        </row>
        <row r="11">
          <cell r="A11" t="str">
            <v>Dependente</v>
          </cell>
        </row>
        <row r="13">
          <cell r="R13" t="str">
            <v>Alojamento(Apto) Atual</v>
          </cell>
          <cell r="AS13" t="str">
            <v>Alojamento(Apto) Pós Mudança</v>
          </cell>
        </row>
        <row r="15">
          <cell r="A15" t="str">
            <v>Data da Mudança</v>
          </cell>
          <cell r="AD15" t="str">
            <v>Até</v>
          </cell>
          <cell r="BF15" t="str">
            <v>A partir</v>
          </cell>
        </row>
        <row r="17">
          <cell r="A17" t="str">
            <v>Local de Trabalho</v>
          </cell>
        </row>
        <row r="19">
          <cell r="A19" t="str">
            <v>Nome do Aloj.(Apto)</v>
          </cell>
        </row>
        <row r="21">
          <cell r="A21" t="str">
            <v>№ do Aloj.(Apto)</v>
          </cell>
        </row>
        <row r="24">
          <cell r="M24" t="str">
            <v>Alojamento</v>
          </cell>
          <cell r="AA24" t="str">
            <v xml:space="preserve">Apartamento  </v>
          </cell>
          <cell r="AO24" t="str">
            <v>Alojamento</v>
          </cell>
          <cell r="BC24" t="str">
            <v xml:space="preserve">Apartamento  </v>
          </cell>
        </row>
        <row r="26">
          <cell r="A26" t="str">
            <v>Aluguel</v>
          </cell>
        </row>
        <row r="29">
          <cell r="A29" t="str">
            <v xml:space="preserve">Àgua, Luz,Gás </v>
          </cell>
          <cell r="M29" t="str">
            <v>Sim</v>
          </cell>
          <cell r="AA29" t="str">
            <v>Não</v>
          </cell>
          <cell r="AO29" t="str">
            <v>Sim</v>
          </cell>
          <cell r="BC29" t="str">
            <v>Não</v>
          </cell>
        </row>
        <row r="31">
          <cell r="A31" t="str">
            <v>Estacionamento</v>
          </cell>
        </row>
        <row r="39">
          <cell r="P39" t="str">
            <v>Sim　</v>
          </cell>
          <cell r="U39" t="str">
            <v xml:space="preserve"> ・</v>
          </cell>
          <cell r="V39" t="str">
            <v>Não</v>
          </cell>
          <cell r="AR39" t="str">
            <v>Sim　</v>
          </cell>
          <cell r="AW39" t="str">
            <v xml:space="preserve"> ・</v>
          </cell>
          <cell r="AX39" t="str">
            <v>Não</v>
          </cell>
        </row>
        <row r="42">
          <cell r="I42" t="str">
            <v>Geladeira</v>
          </cell>
          <cell r="AK42" t="str">
            <v>Geladeira</v>
          </cell>
        </row>
        <row r="45">
          <cell r="I45" t="str">
            <v>TV</v>
          </cell>
          <cell r="AK45" t="str">
            <v>TV</v>
          </cell>
        </row>
        <row r="48">
          <cell r="I48" t="str">
            <v>Máquina de lavar</v>
          </cell>
          <cell r="AK48" t="str">
            <v>Máquina de lavar</v>
          </cell>
        </row>
        <row r="51">
          <cell r="I51" t="str">
            <v>Fogão</v>
          </cell>
          <cell r="AK51" t="str">
            <v>Fogão</v>
          </cell>
        </row>
        <row r="54">
          <cell r="I54" t="str">
            <v>Ventilador</v>
          </cell>
          <cell r="AK54" t="str">
            <v>Ventilador</v>
          </cell>
        </row>
        <row r="57">
          <cell r="I57" t="str">
            <v>Mesa baixa (Kotatsu)</v>
          </cell>
          <cell r="AK57" t="str">
            <v>Mesa baixa (Kotatsu)</v>
          </cell>
        </row>
        <row r="60">
          <cell r="I60" t="str">
            <v>Cortina</v>
          </cell>
          <cell r="AK60" t="str">
            <v>Cortina</v>
          </cell>
        </row>
        <row r="63">
          <cell r="I63" t="str">
            <v>Luminaria</v>
          </cell>
          <cell r="AK63" t="str">
            <v>Luminaria</v>
          </cell>
        </row>
        <row r="65">
          <cell r="I65" t="str">
            <v>Total</v>
          </cell>
          <cell r="AK65" t="str">
            <v>Total</v>
          </cell>
        </row>
        <row r="68">
          <cell r="A68" t="str">
            <v>Nome do Pagador</v>
          </cell>
        </row>
        <row r="70">
          <cell r="A70" t="str">
            <v>Local de Trabalho</v>
          </cell>
        </row>
        <row r="74">
          <cell r="B74" t="str">
            <v>Assinatura</v>
          </cell>
        </row>
      </sheetData>
      <sheetData sheetId="5"/>
      <sheetData sheetId="6">
        <row r="4">
          <cell r="B4" t="str">
            <v>CARTA  DE  DEMISSÃO</v>
          </cell>
        </row>
        <row r="7">
          <cell r="B7" t="str">
            <v>Nome</v>
          </cell>
          <cell r="Z7" t="str">
            <v>Local trabalho</v>
          </cell>
        </row>
        <row r="9">
          <cell r="Z9" t="str">
            <v>Data de Admis</v>
          </cell>
        </row>
        <row r="11">
          <cell r="B11" t="str">
            <v>Número</v>
          </cell>
          <cell r="Z11" t="str">
            <v>Data de Demis</v>
          </cell>
        </row>
        <row r="17">
          <cell r="B17" t="str">
            <v>Eu, venho por meio desta, solicitar o desligamento da empresa, conforme o motivo abaixo:</v>
          </cell>
        </row>
        <row r="21">
          <cell r="B21" t="str">
            <v>Circunstâncias pessoais</v>
          </cell>
          <cell r="L21" t="str">
            <v>De comum acordo</v>
          </cell>
          <cell r="U21" t="str">
            <v>Atual conjuntura da Empresa</v>
          </cell>
          <cell r="AH21" t="str">
            <v>Mudança</v>
          </cell>
        </row>
        <row r="24">
          <cell r="B24" t="str">
            <v>Retorno ao país de origem</v>
          </cell>
          <cell r="L24" t="str">
            <v>Retorno temporário</v>
          </cell>
        </row>
        <row r="27">
          <cell r="B27" t="str">
            <v>Motivo</v>
          </cell>
        </row>
        <row r="30">
          <cell r="B30" t="str">
            <v>Data de embarque</v>
          </cell>
          <cell r="V30" t="str">
            <v>Previsão de retorno</v>
          </cell>
        </row>
        <row r="37">
          <cell r="B37" t="str">
            <v xml:space="preserve">Eu me responsabilizo em entregar a chave do alojamento e todos objetos emprestados pela empresa </v>
          </cell>
        </row>
        <row r="38">
          <cell r="B38" t="str">
            <v>no momento da minha retirada do alojamento ou apartamento.</v>
          </cell>
        </row>
        <row r="41">
          <cell r="B41" t="str">
            <v>Compromisso de confidencialidade</v>
          </cell>
        </row>
        <row r="45">
          <cell r="B45" t="str">
            <v>Eu,prometo que não divulgarei para terceiros as informações e conhecimentos adquiridos durante o meu trabalho nesta empresa</v>
          </cell>
          <cell r="DO45" t="str">
            <v>三協技研工業㈱　殿</v>
          </cell>
        </row>
        <row r="46">
          <cell r="B46" t="str">
            <v xml:space="preserve"> e tomarei medidas efetivas para mantê-la em sigilo.</v>
          </cell>
          <cell r="DM46" t="str">
            <v>V</v>
          </cell>
          <cell r="DO46" t="str">
            <v>㈱サンキョウテクノスタッフ　殿</v>
          </cell>
        </row>
        <row r="52">
          <cell r="B52" t="str">
            <v>Requisição do documento para receber o seguro desemprego</v>
          </cell>
          <cell r="Z52" t="str">
            <v>Assinatura</v>
          </cell>
          <cell r="DM52" t="str">
            <v>PE</v>
          </cell>
        </row>
        <row r="54">
          <cell r="B54" t="str">
            <v>Pendência de despesas de viagem</v>
          </cell>
        </row>
        <row r="56">
          <cell r="B56" t="str">
            <v>Adiantamento</v>
          </cell>
        </row>
        <row r="58">
          <cell r="B58" t="str">
            <v>Uniforme</v>
          </cell>
        </row>
        <row r="60">
          <cell r="B60" t="str">
            <v>Chave do Apto.</v>
          </cell>
        </row>
        <row r="62">
          <cell r="B62" t="str">
            <v>Cartão do Seguro Social</v>
          </cell>
        </row>
      </sheetData>
      <sheetData sheetId="7"/>
      <sheetData sheetId="8"/>
      <sheetData sheetId="9"/>
      <sheetData sheetId="10"/>
      <sheetData sheetId="11"/>
      <sheetData sheetId="12"/>
      <sheetData sheetId="13"/>
      <sheetData sheetId="14"/>
      <sheetData sheetId="15"/>
      <sheetData sheetId="16"/>
      <sheetData sheetId="17"/>
      <sheetData sheetId="18">
        <row r="6">
          <cell r="B6" t="str">
            <v>Local trabalho</v>
          </cell>
          <cell r="AN6" t="str">
            <v>Sim</v>
          </cell>
          <cell r="AT6" t="str">
            <v>Não</v>
          </cell>
          <cell r="AX6" t="str">
            <v>Valor</v>
          </cell>
        </row>
        <row r="9">
          <cell r="B9" t="str">
            <v>Número</v>
          </cell>
          <cell r="AE9" t="str">
            <v>Geladeira</v>
          </cell>
        </row>
        <row r="12">
          <cell r="B12" t="str">
            <v>Nome</v>
          </cell>
          <cell r="AE12" t="str">
            <v>TV</v>
          </cell>
        </row>
        <row r="15">
          <cell r="B15" t="str">
            <v>Alojamento</v>
          </cell>
          <cell r="AE15" t="str">
            <v>Máquina de lavar</v>
          </cell>
        </row>
        <row r="18">
          <cell r="AE18" t="str">
            <v>Fogão</v>
          </cell>
        </row>
        <row r="21">
          <cell r="B21" t="str">
            <v>Aluguel</v>
          </cell>
          <cell r="AE21" t="str">
            <v>Ventilador</v>
          </cell>
        </row>
        <row r="24">
          <cell r="B24" t="str">
            <v>Estacionamento</v>
          </cell>
          <cell r="AE24" t="str">
            <v>Mesa baixa (Kotatsu)</v>
          </cell>
        </row>
        <row r="27">
          <cell r="B27" t="str">
            <v>Material Locado</v>
          </cell>
          <cell r="AE27" t="str">
            <v>Cortina</v>
          </cell>
        </row>
        <row r="30">
          <cell r="AE30" t="str">
            <v>Luminaria</v>
          </cell>
        </row>
        <row r="33">
          <cell r="B33" t="str">
            <v>Total</v>
          </cell>
          <cell r="AE33" t="str">
            <v>Total</v>
          </cell>
        </row>
        <row r="36">
          <cell r="D36" t="str">
            <v>A partir de</v>
          </cell>
        </row>
        <row r="40">
          <cell r="D40" t="str">
            <v>Assinatura</v>
          </cell>
        </row>
        <row r="46">
          <cell r="I46" t="str">
            <v>1 e 2 Quartos</v>
          </cell>
          <cell r="P46" t="str">
            <v>2 Quartos</v>
          </cell>
          <cell r="W46" t="str">
            <v>3 Quartos</v>
          </cell>
        </row>
        <row r="48">
          <cell r="I48" t="str">
            <v xml:space="preserve">     Solteiro    Casal      </v>
          </cell>
          <cell r="P48" t="str">
            <v>2 Solteiros</v>
          </cell>
          <cell r="W48" t="str">
            <v>3 Solteiros</v>
          </cell>
        </row>
        <row r="50">
          <cell r="B50" t="str">
            <v>Geladeira</v>
          </cell>
        </row>
        <row r="52">
          <cell r="B52" t="str">
            <v>TV</v>
          </cell>
        </row>
        <row r="54">
          <cell r="B54" t="str">
            <v>Máquina de lavar</v>
          </cell>
        </row>
        <row r="56">
          <cell r="B56" t="str">
            <v>Fogão</v>
          </cell>
        </row>
        <row r="58">
          <cell r="B58" t="str">
            <v>Ventilador</v>
          </cell>
        </row>
        <row r="60">
          <cell r="B60" t="str">
            <v>Mesa baixa (Kotatsu)</v>
          </cell>
          <cell r="AF60" t="str">
            <v>Em caso de demissão</v>
          </cell>
        </row>
        <row r="62">
          <cell r="B62" t="str">
            <v>Cortina</v>
          </cell>
          <cell r="AF62" t="str">
            <v>Dentro de 10 dias após o fechamento.</v>
          </cell>
          <cell r="AT62" t="str">
            <v>1/3 do valor da locação</v>
          </cell>
        </row>
        <row r="64">
          <cell r="B64" t="str">
            <v>Luminaria</v>
          </cell>
          <cell r="AF64" t="str">
            <v>Dentro de 20 dias após o fechamento.</v>
          </cell>
          <cell r="AT64" t="str">
            <v>2/3 do valor da locação</v>
          </cell>
        </row>
        <row r="66">
          <cell r="B66" t="str">
            <v>Total</v>
          </cell>
          <cell r="AF66" t="str">
            <v>Acima de 21 dias após o fechamento.</v>
          </cell>
          <cell r="AT66" t="str">
            <v>Valor integral da locação</v>
          </cell>
        </row>
      </sheetData>
      <sheetData sheetId="19"/>
      <sheetData sheetId="20"/>
      <sheetData sheetId="21"/>
      <sheetData sheetId="22">
        <row r="2">
          <cell r="B2" t="str">
            <v>INSTRUÇÕES NO ATO DA CONTRATAÇÃO</v>
          </cell>
        </row>
        <row r="6">
          <cell r="I6" t="str">
            <v>Local de trabalho</v>
          </cell>
        </row>
        <row r="8">
          <cell r="I8" t="str">
            <v>Nome</v>
          </cell>
        </row>
        <row r="11">
          <cell r="B11" t="str">
            <v>ÍTENS PRINCIPAIS PARA INICIAR O TRABALHO</v>
          </cell>
        </row>
        <row r="14">
          <cell r="C14" t="str">
            <v>O funcionário deve seguir o comando e a orientação do superior e dedicar-se ao máximo no trabalho.</v>
          </cell>
        </row>
        <row r="16">
          <cell r="C16" t="str">
            <v>Obedecer sem falta os horários estabelecidos: de trabalho, de descanso, etc. Caso necessite faltar ao trabalho devido à doença, comunique ao encarregado da Sankyo o mais rápido possível.</v>
          </cell>
        </row>
        <row r="18">
          <cell r="C18" t="str">
            <v>A empresa proíbe a entrada das seguintes pessoas no local de trabalho:</v>
          </cell>
        </row>
        <row r="20">
          <cell r="D20" t="str">
            <v>Pessoas que portarem armas de fogo, armas letais, objetos perigosos ou objetos desnecessários durante o trabalho, não autorizados pela empresa.</v>
          </cell>
        </row>
        <row r="22">
          <cell r="D22" t="str">
            <v>Pessoas consideradas com comportamentos: violento, grosseiro, mau educado, etc.</v>
          </cell>
        </row>
        <row r="24">
          <cell r="C24" t="str">
            <v>À pessoa que se enquadrar no artigo 24,31,32 e ou, 33 deve estar ciente de que será demitida.</v>
          </cell>
        </row>
        <row r="26">
          <cell r="C26" t="str">
            <v>Caso queira pedir demissão por motivos pessoais, comunique ao encarregado da Sankyo, no mínimo com um mês de antecedência.</v>
          </cell>
        </row>
        <row r="28">
          <cell r="C28" t="str">
            <v>Segredos e informações industriais adquiridos durante o trabalho não deverão vazar para terceiros, tomar medidas efetivas para manter essas informações no mais completo sigilo.</v>
          </cell>
        </row>
        <row r="31">
          <cell r="B31" t="str">
            <v>Referente à segurança e saúde no trabalho</v>
          </cell>
        </row>
        <row r="33">
          <cell r="B33" t="str">
            <v>Li e entendi o conteúdo do texto: Instruções sobre a segurança (para uso exclusivo dos funcionários da Sankyo), portanto prometo cumprir todos os regulamentos nele estabelecidos.</v>
          </cell>
        </row>
        <row r="37">
          <cell r="B37" t="str">
            <v>Eu recebi as instruções acima citadas e estou ciente de seu conteúdo.</v>
          </cell>
        </row>
        <row r="44">
          <cell r="D44" t="str">
            <v>Assinatura</v>
          </cell>
        </row>
        <row r="47">
          <cell r="B47" t="str">
            <v xml:space="preserve">Além disto, cada trabalhador receberá instruções sobre procedimentos de trabalho, manuseio de maquinários, etc., </v>
          </cell>
        </row>
        <row r="48">
          <cell r="B48" t="str">
            <v>nos seus respectivos locais do trabalho.</v>
          </cell>
          <cell r="X48" t="str">
            <v>三協技研工業 ㈱　Sankyo Giken Kogyo</v>
          </cell>
        </row>
        <row r="59">
          <cell r="B59" t="str">
            <v>REGULAMENTOS DE TRABALHO PARA FUNCIONÁRIOS TEMPORÁRIOS</v>
          </cell>
        </row>
        <row r="64">
          <cell r="B64" t="str">
            <v>ARTIGO 24. DEMISSÃO</v>
          </cell>
        </row>
        <row r="67">
          <cell r="C67" t="str">
            <v>É passível de demissão todos os funcionários que se enquadrem nos termos abaixo.</v>
          </cell>
        </row>
        <row r="69">
          <cell r="D69" t="str">
            <v>Quando haja desídia, com improbabilidade de melhora e sem condições de remanejamento. Com a constatação da incompetência na execução do trabalho.</v>
          </cell>
        </row>
        <row r="71">
          <cell r="D71" t="str">
            <v xml:space="preserve">Quando haja desídia sem perspectiva de melhora e de fato assumido. </v>
          </cell>
        </row>
        <row r="73">
          <cell r="D73" t="str">
            <v>Ao assumir a impossibilidade de suportar o trabalho, por motivos psicológicos ou físicos.</v>
          </cell>
        </row>
        <row r="75">
          <cell r="D75" t="str">
            <v>Quando quebrar o espírito de colaboração e ou, mediante a improbidade exercer má influência na execução dos trabalhos de outros funcionários.</v>
          </cell>
        </row>
        <row r="77">
          <cell r="D77" t="str">
            <v>Na vigência do período de experiência, houver a constatação da inaptidão no trabalho..</v>
          </cell>
        </row>
        <row r="79">
          <cell r="D79" t="str">
            <v>Demissão disciplinar na admissão de incidentes que se enquadrem no artigo 32.</v>
          </cell>
        </row>
        <row r="81">
          <cell r="D81" t="str">
            <v>Na inviabilidade de dar continuidade nos negócios, por razões operacionais ocasionadas por catástrofes de ordem natural.</v>
          </cell>
        </row>
        <row r="84">
          <cell r="D84" t="str">
            <v xml:space="preserve">Na dificuldade de haver transferência, em processos de diminuição, remoção, fechamento, etc; ocasionados pela inviabilidade de dar </v>
          </cell>
        </row>
        <row r="85">
          <cell r="D85" t="str">
            <v>continuidade nos negócios e ou, por razões operacionais ocasionadas por catástrofes de ordem natural.</v>
          </cell>
        </row>
        <row r="87">
          <cell r="D87" t="str">
            <v>Por outros motivos que se enquadrem nas condições dos termos anteriores.</v>
          </cell>
        </row>
        <row r="91">
          <cell r="C91" t="str">
            <v>Nas condições e termos acima, a notificação da demissão do funcionário, deverá ser feita 30 dias antes, e na falta desta, será feito o pagamento referente a 30 dias ou mais, porém</v>
          </cell>
        </row>
        <row r="92">
          <cell r="C92" t="str">
            <v>conforme licença do Supervisor Geral do Ministério do Trabalho, é exceção, a demissão disciplinar, determinado pelo artigo 32, e ou, ao que se enquadrarem nos seguintes termos.</v>
          </cell>
        </row>
        <row r="94">
          <cell r="D94" t="str">
            <v>Funcionário contratado por dia ( com exclusão aos funcionários que excedam 1 mês de trabalho).</v>
          </cell>
        </row>
        <row r="96">
          <cell r="D96" t="str">
            <v>Funcionários com contrato determinado em até 2 meses ( com exclusão aos funcionários que excedam o trabalho além desse período)</v>
          </cell>
        </row>
        <row r="104">
          <cell r="D104" t="str">
            <v>Funcionários em período de experiência ( com exclusão aos fncionários que exerçam o trabalho além dos 14 dias).</v>
          </cell>
        </row>
        <row r="107">
          <cell r="C107" t="str">
            <v>Demissão em decorrência do tópico 1, com cobrança e ou, reclamações do funcionário, será anexado documento com o motivo da demissão.</v>
          </cell>
        </row>
        <row r="111">
          <cell r="B111" t="str">
            <v>ARTIGO 31 (TIPOS DE DISCIPLINA)</v>
          </cell>
        </row>
        <row r="114">
          <cell r="D114" t="str">
            <v>Estão divididas, conforme as atitudes disciplinares.</v>
          </cell>
        </row>
        <row r="116">
          <cell r="D116" t="str">
            <v>Advertência</v>
          </cell>
          <cell r="F116" t="str">
            <v xml:space="preserve">Deverá ser preenchido o termo de ocorrência, que servirá como prova para adventos futuros.            </v>
          </cell>
        </row>
        <row r="119">
          <cell r="D119" t="str">
            <v>Redução Salarial</v>
          </cell>
          <cell r="F119" t="str">
            <v>Deverá ser preenchido o termo de ocorrência e, será reduzido o valor salarial. Porém, a redução não será</v>
          </cell>
        </row>
        <row r="120">
          <cell r="F120" t="str">
            <v>menor que a metade do valor diário, ou não será maior que a décima parte do pagamento.</v>
          </cell>
        </row>
        <row r="122">
          <cell r="D122" t="str">
            <v>Suspensão do trabalho</v>
          </cell>
          <cell r="F122" t="str">
            <v>Deverá ser preenchido o termo de ocorrência,  estipulando-se o limite de até 7 dias, sem direito à remuneração durante este período.</v>
          </cell>
        </row>
        <row r="124">
          <cell r="D124" t="str">
            <v>Demissão disciplinar</v>
          </cell>
          <cell r="F124" t="str">
            <v xml:space="preserve">Será feita a demissão imediata.       </v>
          </cell>
        </row>
        <row r="128">
          <cell r="B128" t="str">
            <v>ARTIGO 32 ( RAZÕES DISCIPLINARES )</v>
          </cell>
        </row>
        <row r="131">
          <cell r="C131" t="str">
            <v>O funcionário que se enquadrar nos termos abaixo, conforme condições, sofrerá repreensão, redução salarial e ou, suspensão dos dias de trabalho.</v>
          </cell>
        </row>
        <row r="133">
          <cell r="D133" t="str">
            <v>Faltar, sem aviso, por 3 dias consecutivos, sem motivo justo.</v>
          </cell>
        </row>
        <row r="135">
          <cell r="D135" t="str">
            <v>Faltar, atrasar, sair antes do final do expediente, várias vezes, negligenciando o trabalho, sem ter um motivo justo.</v>
          </cell>
        </row>
        <row r="137">
          <cell r="D137" t="str">
            <v>Por negligência causar danos à empresa.</v>
          </cell>
        </row>
        <row r="139">
          <cell r="D139" t="str">
            <v>Por incontinência de conduta e mau procedimento, causar distúrbio na ordem e moral pública.</v>
          </cell>
        </row>
        <row r="141">
          <cell r="D141" t="str">
            <v>Na violação do artigo 10 ou 11 .......... Artigo 11 ( proibição de abuso sexual ).</v>
          </cell>
        </row>
        <row r="143">
          <cell r="D143" t="str">
            <v xml:space="preserve">Outras violações nos regulamentos, e ou, desconformidade nas atitudes que se enquadrem nos termos anteriores. </v>
          </cell>
        </row>
        <row r="147">
          <cell r="C147" t="str">
            <v>Ao enquadrar-se em um dos termos abaixo, será demitido disciplinarmente. Nesse caso, conforme a licença da Agência Oficial de Administração, segundo artigo 20,</v>
          </cell>
        </row>
        <row r="148">
          <cell r="C148" t="str">
            <v>da legislação trabalhista, vê-se desobrigado do pagamento de tributos referentes da não notificação de demissão (30 dias). Contudo, em virtude das condições</v>
          </cell>
        </row>
        <row r="149">
          <cell r="C149" t="str">
            <v>de trabalho, conforme artigo 23, pode ser alterado para demissão normal, diminuição salarial ou suspensão dos dias de trabalho.</v>
          </cell>
        </row>
        <row r="151">
          <cell r="D151" t="str">
            <v>For constatado falsidade nos dados de grande importância na sua contratação.</v>
          </cell>
        </row>
        <row r="153">
          <cell r="D153" t="str">
            <v>Sem justo motivo, faltar por mais de 7 dias consecutivos, e não corresponder pela cobrança na presença no trabalho.</v>
          </cell>
        </row>
        <row r="155">
          <cell r="D155" t="str">
            <v>Sem justo motivo, faltar, atrasar, sair antes do final do expediente por várias vezes, e na terceira advertência admitir que não há melhora.</v>
          </cell>
        </row>
        <row r="157">
          <cell r="D157" t="str">
            <v>Sem justo motivo, por várias vezes, não obedecer ordens verbais ou por escrito.</v>
          </cell>
        </row>
        <row r="159">
          <cell r="D159" t="str">
            <v>Conscientemente e ou, negligentemente, causar graves danos à empresa.</v>
          </cell>
        </row>
        <row r="161">
          <cell r="D161" t="str">
            <v>Independentemente do local, tenha ações que transgridam o código penal, e estas venham à conhecimento.</v>
          </cell>
        </row>
        <row r="163">
          <cell r="D163" t="str">
            <v>Por incontinência de conduta e mau procedimento, causar distúrbio na ordem e moral pública, dentro da empresa.</v>
          </cell>
        </row>
        <row r="165">
          <cell r="D165" t="str">
            <v>Por várias vezes, receber advertência disciplinar, e admitir que não há perspectiva de melhora.</v>
          </cell>
        </row>
        <row r="168">
          <cell r="D168" t="str">
            <v xml:space="preserve">Por atos lesivos à honra e à boa fama, como gestos ou palavras que importem em expor à outrem ao desprezo de terceiros ou por qualquer meio  </v>
          </cell>
        </row>
        <row r="169">
          <cell r="D169" t="str">
            <v>magoá-lo em sua dignidade pessoal, causando um ambiente de trabalho inóspito, causando prejuízos financeiros parciais à empresa.</v>
          </cell>
        </row>
        <row r="171">
          <cell r="D171" t="str">
            <v>Sem prévia autorização, usufruir do local e de bens da empresa, para benefício próprio.</v>
          </cell>
        </row>
        <row r="173">
          <cell r="D173" t="str">
            <v xml:space="preserve">Por aceitar suborno e ato de extorsão, visando benefício próprio, por abuso de cargo ou poder. </v>
          </cell>
        </row>
        <row r="175">
          <cell r="D175" t="str">
            <v>Por atitudes na vida pessoal, ou difamações contra a empresa, venham a prejudicar e ou, causar sérios danos à imagem e nome  da empresa.</v>
          </cell>
        </row>
        <row r="177">
          <cell r="D177" t="str">
            <v>Por violação do segredo da empresa, venha a causar danos e ou, prejudicar o andamento dos negócios da empresa.</v>
          </cell>
        </row>
        <row r="179">
          <cell r="D179" t="str">
            <v>Outros atos que se enquadrem nos níveis dos termos citados anteriormente.</v>
          </cell>
        </row>
        <row r="182">
          <cell r="C182" t="str">
            <v>Demissão disciplinar  em decorrência do tópico 2, com cobrança pelo funcionário, será anexado documento com o motivo da demissão.</v>
          </cell>
        </row>
        <row r="186">
          <cell r="B186" t="str">
            <v>ARTIGO 33 ( ATENTADO )</v>
          </cell>
        </row>
        <row r="189">
          <cell r="C189" t="str">
            <v>Praticar ou planejar atos atentórios, mesmo sem resultados concretos se enquadra no artigo anterior.</v>
          </cell>
        </row>
        <row r="193">
          <cell r="B193" t="str">
            <v xml:space="preserve"> Compreendi os termos acima.</v>
          </cell>
        </row>
        <row r="196">
          <cell r="D196" t="str">
            <v>Data</v>
          </cell>
        </row>
        <row r="200">
          <cell r="D200" t="str">
            <v>Assinatura</v>
          </cell>
        </row>
      </sheetData>
      <sheetData sheetId="23">
        <row r="2">
          <cell r="B2" t="str">
            <v>TERMO DE USO DO ALOJAMENTO E TERMO DE COMPROMISSO</v>
          </cell>
        </row>
        <row r="5">
          <cell r="R5" t="str">
            <v>Local de trabalho</v>
          </cell>
        </row>
        <row r="7">
          <cell r="R7" t="str">
            <v>Nome</v>
          </cell>
        </row>
        <row r="10">
          <cell r="C10" t="str">
            <v>Ocupação, desocupação e utilização do alojamento</v>
          </cell>
        </row>
        <row r="13">
          <cell r="C13" t="str">
            <v>Neste momento, ao receber a autorização para ocupar o alojamento abaixo citado, e durante a permanência no imóvel, prometo seguir as normas estabelecidas pela empresa.</v>
          </cell>
        </row>
        <row r="16">
          <cell r="C16" t="str">
            <v>Pertences pessoais(Eletrodomésticos recicláveis)</v>
          </cell>
        </row>
        <row r="18">
          <cell r="D18" t="str">
            <v>Quando for desocupar o alojamento leve todos os seus pertences, se deixar algum eletrodoméstico reciclável como geladeira,</v>
          </cell>
        </row>
        <row r="19">
          <cell r="D19" t="str">
            <v>máquina de lavar, televisão, ar condicionado, etc; se responsabilizará pelas despesas de remoção.</v>
          </cell>
        </row>
        <row r="22">
          <cell r="C22" t="str">
            <v>Pertences pessoais (Outros)</v>
          </cell>
        </row>
        <row r="24">
          <cell r="D24" t="str">
            <v>Quando for desocupar o alojamento leve todos os seus pertences, se deixar algum produto ou material; se responsabilizará pelas despesas de remoção.</v>
          </cell>
        </row>
        <row r="27">
          <cell r="C27" t="str">
            <v>Não perfure as paredes com pregos e percevejos</v>
          </cell>
        </row>
        <row r="29">
          <cell r="D29" t="str">
            <v>Quando for desocupar do alojamento o responsável fará uma vistoria geral na sua presença, caso haja necessidade de reparação, se responsabilizará pelas despesas.</v>
          </cell>
        </row>
        <row r="32">
          <cell r="C32" t="str">
            <v>Linha telefônica e internet</v>
          </cell>
        </row>
        <row r="34">
          <cell r="D34" t="str">
            <v>Antes de desocupar o alojamento solicitar o serviço de cancelamento ou alteração de endereço.</v>
          </cell>
        </row>
        <row r="37">
          <cell r="C37" t="str">
            <v>Demissão ou mudança de serviço</v>
          </cell>
        </row>
        <row r="39">
          <cell r="D39" t="str">
            <v>Desocupar ou mudar de alojamento dentro do prazo determinado.</v>
          </cell>
        </row>
        <row r="42">
          <cell r="C42" t="str">
            <v>Não incomodar a vizinhança</v>
          </cell>
        </row>
        <row r="44">
          <cell r="D44" t="str">
            <v>Não conversar em voz alta, não deixar o volume do aparelho de som muito alto, é proibido fazer churrasco no quintal ou varanda do alojamento.</v>
          </cell>
        </row>
        <row r="47">
          <cell r="C47" t="str">
            <v xml:space="preserve">Fumar dentro do alojamento </v>
          </cell>
        </row>
        <row r="49">
          <cell r="D49" t="str">
            <v>É permitido fumar dentro do alojamento, (tomar cuidado com incêndio). Porém a nicotina pode manchar o papel de parede, caso haja necessidade de reparação, se responsabilizará pelas despesas.</v>
          </cell>
        </row>
        <row r="52">
          <cell r="C52" t="str">
            <v>Estacionamento</v>
          </cell>
        </row>
        <row r="54">
          <cell r="D54" t="str">
            <v>Será proibido emprestar a vaga do estacionamento à terceiros não contratados. Caso o veículo do mesmo se envolver em algum acidente ou problema a empresa não se envolverá.</v>
          </cell>
        </row>
        <row r="57">
          <cell r="C57" t="str">
            <v>Dia da devolução do alojamento</v>
          </cell>
        </row>
        <row r="59">
          <cell r="D59" t="str">
            <v>Entregar a chave emprestada do alojamento na data previamente determinada na presença do responsável.</v>
          </cell>
        </row>
        <row r="63">
          <cell r="B63" t="str">
            <v>Aluguel do Apartamento</v>
          </cell>
          <cell r="N63" t="str">
            <v>Aluguel do alojamento</v>
          </cell>
        </row>
        <row r="65">
          <cell r="D65" t="str">
            <v>Devolução do apartamento em menos de 15 dias após o fechamento.</v>
          </cell>
          <cell r="P65" t="str">
            <v>Saída do alojamento dentro de 10 dias após o fechamento.</v>
          </cell>
        </row>
        <row r="67">
          <cell r="E67" t="str">
            <v>Será cobrado 1/2 do aluguel (estacionamento será calculado por dia)</v>
          </cell>
          <cell r="Q67" t="str">
            <v>Será cobrado 1/3 do aluguel (estacionamento será calculado por dia).</v>
          </cell>
        </row>
        <row r="70">
          <cell r="D70" t="str">
            <v>Devolução do apartamento após 16 dias do fechamento</v>
          </cell>
          <cell r="P70" t="str">
            <v>Saída do alojamento dentro de 20 dias após o fechamento.</v>
          </cell>
        </row>
        <row r="72">
          <cell r="E72" t="str">
            <v>Será cobrado o aluguel integral (estacionamento será calculado por dia)</v>
          </cell>
          <cell r="Q72" t="str">
            <v>Será cobrado 2/3 do aluguel (estacionamento será calculado por dia).</v>
          </cell>
        </row>
        <row r="75">
          <cell r="P75" t="str">
            <v>Saída do alojamento acima de 21 dias após o fechamento.</v>
          </cell>
        </row>
        <row r="77">
          <cell r="Q77" t="str">
            <v>Será cobrado o aluguel integral (estacionamento será calculado por dia).</v>
          </cell>
        </row>
        <row r="80">
          <cell r="B80" t="str">
            <v>Despesas de água, luz, gás, etc</v>
          </cell>
        </row>
        <row r="82">
          <cell r="D82" t="str">
            <v>Será descontado o valor pela média estimada até o dia da devolução do alojamento.</v>
          </cell>
        </row>
        <row r="84">
          <cell r="E84" t="str">
            <v>Será calculado pela média dos 3 últimos meses até o dia da devolução do alojamento.</v>
          </cell>
        </row>
        <row r="87">
          <cell r="B87" t="str">
            <v>Li e concordo com os termos acima.</v>
          </cell>
        </row>
        <row r="92">
          <cell r="B92" t="str">
            <v>Se por algum motivo eu violar as normas e ocasianar custos de reparação e remoção para a empresa, solicito que seja deduzido do meu último salário a quantia entre 10,000 a 30,000 ienes</v>
          </cell>
        </row>
        <row r="93">
          <cell r="B93" t="str">
            <v>referente à limpeza do imóvel.</v>
          </cell>
        </row>
        <row r="94">
          <cell r="B94" t="str">
            <v>Mas, se as despesas ultrapassarem a quantia acima de 30,000 ienes, deverá ser discutido e decidido entre ambas as partes.</v>
          </cell>
        </row>
        <row r="97">
          <cell r="E97" t="str">
            <v>Data</v>
          </cell>
        </row>
        <row r="102">
          <cell r="E102" t="str">
            <v>Assinatura</v>
          </cell>
        </row>
      </sheetData>
      <sheetData sheetId="24"/>
      <sheetData sheetId="25"/>
      <sheetData sheetId="26"/>
      <sheetData sheetId="27"/>
      <sheetData sheetId="28"/>
      <sheetData sheetId="29"/>
      <sheetData sheetId="30"/>
      <sheetData sheetId="31"/>
      <sheetData sheetId="32"/>
      <sheetData sheetId="33"/>
      <sheetData sheetId="34"/>
      <sheetData sheetId="35"/>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目次"/>
      <sheetName val="身上書"/>
      <sheetName val="身上書JP"/>
      <sheetName val="雇用保険・退職報告書"/>
      <sheetName val="寮移動票"/>
      <sheetName val="帰国者清算届"/>
      <sheetName val="退職届"/>
      <sheetName val="車両使用規程"/>
      <sheetName val="前渡金.給与控除"/>
      <sheetName val="入力フォーム"/>
      <sheetName val="データシート"/>
      <sheetName val="退職者"/>
      <sheetName val="業務内容"/>
      <sheetName val="雇用契約書シート"/>
      <sheetName val="個人在籍簿"/>
      <sheetName val="履歴書"/>
      <sheetName val="雇用保険・入社報告書"/>
      <sheetName val="社会保険加入者連絡票"/>
      <sheetName val="備品リース料"/>
      <sheetName val="作業服・駐車所"/>
      <sheetName val="健康診断票"/>
      <sheetName val="扶養控除"/>
      <sheetName val="教育・解雇"/>
      <sheetName val="寮の使用規定"/>
      <sheetName val="TERMO DE COMPROMISSO Ⅲ"/>
      <sheetName val="初期教育理解度"/>
      <sheetName val="初期教育理解度 (2)"/>
      <sheetName val="日常生活品"/>
      <sheetName val="引っ越し費用"/>
      <sheetName val="入社前準備"/>
      <sheetName val="写真"/>
      <sheetName val="光熱費用"/>
      <sheetName val="紹介制度"/>
      <sheetName val="紹介制度経歴"/>
      <sheetName val="紹介制度ハリガミ"/>
      <sheetName val="引っ越し費用経歴"/>
    </sheetNames>
    <sheetDataSet>
      <sheetData sheetId="0"/>
      <sheetData sheetId="1"/>
      <sheetData sheetId="2"/>
      <sheetData sheetId="3"/>
      <sheetData sheetId="4">
        <row r="5">
          <cell r="AR5" t="str">
            <v>Local Trabalho</v>
          </cell>
        </row>
        <row r="6">
          <cell r="A6" t="str">
            <v>Nome</v>
          </cell>
          <cell r="AE6" t="str">
            <v>Morador</v>
          </cell>
        </row>
        <row r="8">
          <cell r="N8" t="str">
            <v>Local Trabalho</v>
          </cell>
          <cell r="AR8" t="str">
            <v>Local Trabalho</v>
          </cell>
        </row>
        <row r="9">
          <cell r="A9" t="str">
            <v>Morador</v>
          </cell>
          <cell r="AE9" t="str">
            <v>Morador</v>
          </cell>
        </row>
        <row r="11">
          <cell r="A11" t="str">
            <v>Dependente</v>
          </cell>
        </row>
        <row r="13">
          <cell r="R13" t="str">
            <v>Alojamento(Apto) Atual</v>
          </cell>
          <cell r="AS13" t="str">
            <v>Alojamento(Apto) Pós Mudança</v>
          </cell>
        </row>
        <row r="15">
          <cell r="A15" t="str">
            <v>Data da Mudança</v>
          </cell>
          <cell r="AD15" t="str">
            <v>Até</v>
          </cell>
          <cell r="BF15" t="str">
            <v>A partir</v>
          </cell>
        </row>
        <row r="17">
          <cell r="A17" t="str">
            <v>Local de Trabalho</v>
          </cell>
        </row>
        <row r="19">
          <cell r="A19" t="str">
            <v>Nome do Aloj.(Apto)</v>
          </cell>
        </row>
        <row r="21">
          <cell r="A21" t="str">
            <v>№ do Aloj.(Apto)</v>
          </cell>
        </row>
        <row r="24">
          <cell r="M24" t="str">
            <v>Alojamento</v>
          </cell>
          <cell r="AA24" t="str">
            <v xml:space="preserve">Apartamento  </v>
          </cell>
          <cell r="AO24" t="str">
            <v>Alojamento</v>
          </cell>
          <cell r="BC24" t="str">
            <v xml:space="preserve">Apartamento  </v>
          </cell>
        </row>
        <row r="26">
          <cell r="A26" t="str">
            <v>Aluguel</v>
          </cell>
        </row>
        <row r="29">
          <cell r="A29" t="str">
            <v xml:space="preserve">Àgua, Luz,Gás </v>
          </cell>
          <cell r="M29" t="str">
            <v>Sim</v>
          </cell>
          <cell r="AA29" t="str">
            <v>Não</v>
          </cell>
          <cell r="AO29" t="str">
            <v>Sim</v>
          </cell>
          <cell r="BC29" t="str">
            <v>Não</v>
          </cell>
        </row>
        <row r="31">
          <cell r="A31" t="str">
            <v>Estacionamento</v>
          </cell>
        </row>
        <row r="39">
          <cell r="P39" t="str">
            <v>Sim　</v>
          </cell>
          <cell r="U39" t="str">
            <v xml:space="preserve"> ・</v>
          </cell>
          <cell r="V39" t="str">
            <v>Não</v>
          </cell>
          <cell r="AR39" t="str">
            <v>Sim　</v>
          </cell>
          <cell r="AW39" t="str">
            <v xml:space="preserve"> ・</v>
          </cell>
          <cell r="AX39" t="str">
            <v>Não</v>
          </cell>
        </row>
        <row r="42">
          <cell r="I42" t="str">
            <v>Geladeira</v>
          </cell>
          <cell r="AK42" t="str">
            <v>Geladeira</v>
          </cell>
        </row>
        <row r="45">
          <cell r="I45" t="str">
            <v>TV</v>
          </cell>
          <cell r="AK45" t="str">
            <v>TV</v>
          </cell>
        </row>
        <row r="48">
          <cell r="I48" t="str">
            <v>Máquina de lavar</v>
          </cell>
          <cell r="AK48" t="str">
            <v>Máquina de lavar</v>
          </cell>
        </row>
        <row r="51">
          <cell r="I51" t="str">
            <v>Fogão</v>
          </cell>
          <cell r="AK51" t="str">
            <v>Fogão</v>
          </cell>
        </row>
        <row r="54">
          <cell r="I54" t="str">
            <v>Ventilador</v>
          </cell>
          <cell r="AK54" t="str">
            <v>Ventilador</v>
          </cell>
        </row>
        <row r="57">
          <cell r="I57" t="str">
            <v>Mesa baixa (Kotatsu)</v>
          </cell>
          <cell r="AK57" t="str">
            <v>Mesa baixa (Kotatsu)</v>
          </cell>
        </row>
        <row r="60">
          <cell r="I60" t="str">
            <v>Cortina</v>
          </cell>
          <cell r="AK60" t="str">
            <v>Cortina</v>
          </cell>
        </row>
        <row r="63">
          <cell r="I63" t="str">
            <v>Luminaria</v>
          </cell>
          <cell r="AK63" t="str">
            <v>Luminaria</v>
          </cell>
        </row>
        <row r="65">
          <cell r="I65" t="str">
            <v>Total</v>
          </cell>
          <cell r="AK65" t="str">
            <v>Total</v>
          </cell>
        </row>
        <row r="68">
          <cell r="A68" t="str">
            <v>Nome do Pagador</v>
          </cell>
        </row>
        <row r="70">
          <cell r="A70" t="str">
            <v>Local de Trabalho</v>
          </cell>
        </row>
        <row r="74">
          <cell r="B74" t="str">
            <v>Assinatura</v>
          </cell>
        </row>
      </sheetData>
      <sheetData sheetId="5"/>
      <sheetData sheetId="6">
        <row r="4">
          <cell r="B4" t="str">
            <v>CARTA  DE  DEMISSÃO</v>
          </cell>
        </row>
        <row r="7">
          <cell r="B7" t="str">
            <v>Nome</v>
          </cell>
          <cell r="Z7" t="str">
            <v>Local trabalho</v>
          </cell>
        </row>
        <row r="9">
          <cell r="Z9" t="str">
            <v>Data de Admis</v>
          </cell>
        </row>
        <row r="11">
          <cell r="B11" t="str">
            <v>Número</v>
          </cell>
          <cell r="Z11" t="str">
            <v>Data de Demis</v>
          </cell>
        </row>
        <row r="17">
          <cell r="B17" t="str">
            <v>Eu, venho por meio desta, solicitar o desligamento da empresa, conforme o motivo abaixo:</v>
          </cell>
        </row>
        <row r="21">
          <cell r="B21" t="str">
            <v>Circunstâncias pessoais</v>
          </cell>
          <cell r="L21" t="str">
            <v>De comum acordo</v>
          </cell>
          <cell r="U21" t="str">
            <v>Atual conjuntura da Empresa</v>
          </cell>
          <cell r="AH21" t="str">
            <v>Mudança</v>
          </cell>
        </row>
        <row r="24">
          <cell r="B24" t="str">
            <v>Retorno ao país de origem</v>
          </cell>
          <cell r="L24" t="str">
            <v>Retorno temporário</v>
          </cell>
        </row>
        <row r="27">
          <cell r="B27" t="str">
            <v>Motivo</v>
          </cell>
        </row>
        <row r="30">
          <cell r="B30" t="str">
            <v>Data de embarque</v>
          </cell>
          <cell r="V30" t="str">
            <v>Previsão de retorno</v>
          </cell>
        </row>
        <row r="37">
          <cell r="B37" t="str">
            <v xml:space="preserve">Eu me responsabilizo em entregar a chave do alojamento e todos objetos emprestados pela empresa </v>
          </cell>
        </row>
        <row r="38">
          <cell r="B38" t="str">
            <v>no momento da minha retirada do alojamento ou apartamento.</v>
          </cell>
        </row>
        <row r="41">
          <cell r="B41" t="str">
            <v>Compromisso de confidencialidade</v>
          </cell>
        </row>
        <row r="45">
          <cell r="B45" t="str">
            <v>Eu,prometo que não divulgarei para terceiros as informações e conhecimentos adquiridos durante o meu trabalho nesta empresa</v>
          </cell>
          <cell r="DO45" t="str">
            <v>三協技研工業㈱　殿</v>
          </cell>
        </row>
        <row r="46">
          <cell r="B46" t="str">
            <v xml:space="preserve"> e tomarei medidas efetivas para mantê-la em sigilo.</v>
          </cell>
          <cell r="DM46" t="str">
            <v>V</v>
          </cell>
          <cell r="DO46" t="str">
            <v>㈱サンキョウテクノスタッフ　殿</v>
          </cell>
        </row>
        <row r="52">
          <cell r="B52" t="str">
            <v>Requisição do documento para receber o seguro desemprego</v>
          </cell>
          <cell r="Z52" t="str">
            <v>Assinatura</v>
          </cell>
          <cell r="DM52" t="str">
            <v>PE</v>
          </cell>
        </row>
        <row r="54">
          <cell r="B54" t="str">
            <v>Pendência de despesas de viagem</v>
          </cell>
        </row>
        <row r="56">
          <cell r="B56" t="str">
            <v>Adiantamento</v>
          </cell>
        </row>
        <row r="58">
          <cell r="B58" t="str">
            <v>Uniforme</v>
          </cell>
        </row>
        <row r="60">
          <cell r="B60" t="str">
            <v>Chave do Apto.</v>
          </cell>
        </row>
        <row r="62">
          <cell r="B62" t="str">
            <v>Cartão do Seguro Social</v>
          </cell>
        </row>
      </sheetData>
      <sheetData sheetId="7"/>
      <sheetData sheetId="8"/>
      <sheetData sheetId="9"/>
      <sheetData sheetId="10"/>
      <sheetData sheetId="11"/>
      <sheetData sheetId="12"/>
      <sheetData sheetId="13"/>
      <sheetData sheetId="14"/>
      <sheetData sheetId="15"/>
      <sheetData sheetId="16"/>
      <sheetData sheetId="17"/>
      <sheetData sheetId="18">
        <row r="6">
          <cell r="B6" t="str">
            <v>Local trabalho</v>
          </cell>
          <cell r="AN6" t="str">
            <v>Sim</v>
          </cell>
          <cell r="AT6" t="str">
            <v>Não</v>
          </cell>
          <cell r="AX6" t="str">
            <v>Valor</v>
          </cell>
        </row>
        <row r="9">
          <cell r="B9" t="str">
            <v>Número</v>
          </cell>
          <cell r="AE9" t="str">
            <v>Geladeira</v>
          </cell>
        </row>
        <row r="12">
          <cell r="B12" t="str">
            <v>Nome</v>
          </cell>
          <cell r="AE12" t="str">
            <v>TV</v>
          </cell>
        </row>
        <row r="15">
          <cell r="B15" t="str">
            <v>Alojamento</v>
          </cell>
          <cell r="AE15" t="str">
            <v>Máquina de lavar</v>
          </cell>
        </row>
        <row r="18">
          <cell r="AE18" t="str">
            <v>Fogão</v>
          </cell>
        </row>
        <row r="21">
          <cell r="B21" t="str">
            <v>Aluguel</v>
          </cell>
          <cell r="AE21" t="str">
            <v>Ventilador</v>
          </cell>
        </row>
        <row r="24">
          <cell r="B24" t="str">
            <v>Estacionamento</v>
          </cell>
          <cell r="AE24" t="str">
            <v>Mesa baixa (Kotatsu)</v>
          </cell>
        </row>
        <row r="27">
          <cell r="B27" t="str">
            <v>Material Locado</v>
          </cell>
          <cell r="AE27" t="str">
            <v>Cortina</v>
          </cell>
        </row>
        <row r="30">
          <cell r="AE30" t="str">
            <v>Luminaria</v>
          </cell>
        </row>
        <row r="33">
          <cell r="B33" t="str">
            <v>Total</v>
          </cell>
          <cell r="AE33" t="str">
            <v>Total</v>
          </cell>
        </row>
        <row r="36">
          <cell r="D36" t="str">
            <v>A partir de</v>
          </cell>
        </row>
        <row r="40">
          <cell r="D40" t="str">
            <v>Assinatura</v>
          </cell>
        </row>
        <row r="46">
          <cell r="I46" t="str">
            <v>1 e 2 Quartos</v>
          </cell>
          <cell r="P46" t="str">
            <v>2 Quartos</v>
          </cell>
          <cell r="W46" t="str">
            <v>3 Quartos</v>
          </cell>
        </row>
        <row r="48">
          <cell r="I48" t="str">
            <v xml:space="preserve">     Solteiro    Casal      </v>
          </cell>
          <cell r="P48" t="str">
            <v>2 Solteiros</v>
          </cell>
          <cell r="W48" t="str">
            <v>3 Solteiros</v>
          </cell>
        </row>
        <row r="50">
          <cell r="B50" t="str">
            <v>Geladeira</v>
          </cell>
        </row>
        <row r="52">
          <cell r="B52" t="str">
            <v>TV</v>
          </cell>
        </row>
        <row r="54">
          <cell r="B54" t="str">
            <v>Máquina de lavar</v>
          </cell>
        </row>
        <row r="56">
          <cell r="B56" t="str">
            <v>Fogão</v>
          </cell>
        </row>
        <row r="58">
          <cell r="B58" t="str">
            <v>Ventilador</v>
          </cell>
        </row>
        <row r="60">
          <cell r="B60" t="str">
            <v>Mesa baixa (Kotatsu)</v>
          </cell>
          <cell r="AF60" t="str">
            <v>Em caso de demissão</v>
          </cell>
        </row>
        <row r="62">
          <cell r="B62" t="str">
            <v>Cortina</v>
          </cell>
          <cell r="AF62" t="str">
            <v>Dentro de 10 dias após o fechamento.</v>
          </cell>
          <cell r="AT62" t="str">
            <v>1/3 do valor da locação</v>
          </cell>
        </row>
        <row r="64">
          <cell r="B64" t="str">
            <v>Luminaria</v>
          </cell>
          <cell r="AF64" t="str">
            <v>Dentro de 20 dias após o fechamento.</v>
          </cell>
          <cell r="AT64" t="str">
            <v>2/3 do valor da locação</v>
          </cell>
        </row>
        <row r="66">
          <cell r="B66" t="str">
            <v>Total</v>
          </cell>
          <cell r="AF66" t="str">
            <v>Acima de 21 dias após o fechamento.</v>
          </cell>
          <cell r="AT66" t="str">
            <v>Valor integral da locação</v>
          </cell>
        </row>
      </sheetData>
      <sheetData sheetId="19"/>
      <sheetData sheetId="20"/>
      <sheetData sheetId="21"/>
      <sheetData sheetId="22">
        <row r="2">
          <cell r="B2" t="str">
            <v>INSTRUÇÕES NO ATO DA CONTRATAÇÃO</v>
          </cell>
        </row>
        <row r="6">
          <cell r="I6" t="str">
            <v>Local de trabalho</v>
          </cell>
        </row>
        <row r="8">
          <cell r="I8" t="str">
            <v>Nome</v>
          </cell>
        </row>
        <row r="11">
          <cell r="B11" t="str">
            <v>ÍTENS PRINCIPAIS PARA INICIAR O TRABALHO</v>
          </cell>
        </row>
        <row r="14">
          <cell r="C14" t="str">
            <v>O funcionário deve seguir o comando e a orientação do superior e dedicar-se ao máximo no trabalho.</v>
          </cell>
        </row>
        <row r="16">
          <cell r="C16" t="str">
            <v>Obedecer sem falta os horários estabelecidos: de trabalho, de descanso, etc. Caso necessite faltar ao trabalho devido à doença, comunique ao encarregado da Sankyo o mais rápido possível.</v>
          </cell>
        </row>
        <row r="18">
          <cell r="C18" t="str">
            <v>A empresa proíbe a entrada das seguintes pessoas no local de trabalho:</v>
          </cell>
        </row>
        <row r="20">
          <cell r="D20" t="str">
            <v>Pessoas que portarem armas de fogo, armas letais, objetos perigosos ou objetos desnecessários durante o trabalho, não autorizados pela empresa.</v>
          </cell>
        </row>
        <row r="22">
          <cell r="D22" t="str">
            <v>Pessoas consideradas com comportamentos: violento, grosseiro, mau educado, etc.</v>
          </cell>
        </row>
        <row r="24">
          <cell r="C24" t="str">
            <v>À pessoa que se enquadrar no artigo 24,31,32 e ou, 33 deve estar ciente de que será demitida.</v>
          </cell>
        </row>
        <row r="26">
          <cell r="C26" t="str">
            <v>Caso queira pedir demissão por motivos pessoais, comunique ao encarregado da Sankyo, no mínimo com um mês de antecedência.</v>
          </cell>
        </row>
        <row r="28">
          <cell r="C28" t="str">
            <v>Segredos e informações industriais adquiridos durante o trabalho não deverão vazar para terceiros, tomar medidas efetivas para manter essas informações no mais completo sigilo.</v>
          </cell>
        </row>
        <row r="31">
          <cell r="B31" t="str">
            <v>Referente à segurança e saúde no trabalho</v>
          </cell>
        </row>
        <row r="33">
          <cell r="B33" t="str">
            <v>Li e entendi o conteúdo do texto: Instruções sobre a segurança (para uso exclusivo dos funcionários da Sankyo), portanto prometo cumprir todos os regulamentos nele estabelecidos.</v>
          </cell>
        </row>
        <row r="37">
          <cell r="B37" t="str">
            <v>Eu recebi as instruções acima citadas e estou ciente de seu conteúdo.</v>
          </cell>
        </row>
        <row r="44">
          <cell r="D44" t="str">
            <v>Assinatura</v>
          </cell>
        </row>
        <row r="47">
          <cell r="B47" t="str">
            <v xml:space="preserve">Além disto, cada trabalhador receberá instruções sobre procedimentos de trabalho, manuseio de maquinários, etc., </v>
          </cell>
        </row>
        <row r="48">
          <cell r="B48" t="str">
            <v>nos seus respectivos locais do trabalho.</v>
          </cell>
          <cell r="X48" t="str">
            <v>三協技研工業 ㈱　Sankyo Giken Kogyo</v>
          </cell>
        </row>
        <row r="59">
          <cell r="B59" t="str">
            <v>REGULAMENTOS DE TRABALHO PARA FUNCIONÁRIOS TEMPORÁRIOS</v>
          </cell>
        </row>
        <row r="64">
          <cell r="B64" t="str">
            <v>ARTIGO 24. DEMISSÃO</v>
          </cell>
        </row>
        <row r="67">
          <cell r="C67" t="str">
            <v>É passível de demissão todos os funcionários que se enquadrem nos termos abaixo.</v>
          </cell>
        </row>
        <row r="69">
          <cell r="D69" t="str">
            <v>Quando haja desídia, com improbabilidade de melhora e sem condições de remanejamento. Com a constatação da incompetência na execução do trabalho.</v>
          </cell>
        </row>
        <row r="71">
          <cell r="D71" t="str">
            <v xml:space="preserve">Quando haja desídia sem perspectiva de melhora e de fato assumido. </v>
          </cell>
        </row>
        <row r="73">
          <cell r="D73" t="str">
            <v>Ao assumir a impossibilidade de suportar o trabalho, por motivos psicológicos ou físicos.</v>
          </cell>
        </row>
        <row r="75">
          <cell r="D75" t="str">
            <v>Quando quebrar o espírito de colaboração e ou, mediante a improbidade exercer má influência na execução dos trabalhos de outros funcionários.</v>
          </cell>
        </row>
        <row r="77">
          <cell r="D77" t="str">
            <v>Na vigência do período de experiência, houver a constatação da inaptidão no trabalho..</v>
          </cell>
        </row>
        <row r="79">
          <cell r="D79" t="str">
            <v>Demissão disciplinar na admissão de incidentes que se enquadrem no artigo 32.</v>
          </cell>
        </row>
        <row r="81">
          <cell r="D81" t="str">
            <v>Na inviabilidade de dar continuidade nos negócios, por razões operacionais ocasionadas por catástrofes de ordem natural.</v>
          </cell>
        </row>
        <row r="84">
          <cell r="D84" t="str">
            <v xml:space="preserve">Na dificuldade de haver transferência, em processos de diminuição, remoção, fechamento, etc; ocasionados pela inviabilidade de dar </v>
          </cell>
        </row>
        <row r="85">
          <cell r="D85" t="str">
            <v>continuidade nos negócios e ou, por razões operacionais ocasionadas por catástrofes de ordem natural.</v>
          </cell>
        </row>
        <row r="87">
          <cell r="D87" t="str">
            <v>Por outros motivos que se enquadrem nas condições dos termos anteriores.</v>
          </cell>
        </row>
        <row r="91">
          <cell r="C91" t="str">
            <v>Nas condições e termos acima, a notificação da demissão do funcionário, deverá ser feita 30 dias antes, e na falta desta, será feito o pagamento referente a 30 dias ou mais, porém</v>
          </cell>
        </row>
        <row r="92">
          <cell r="C92" t="str">
            <v>conforme licença do Supervisor Geral do Ministério do Trabalho, é exceção, a demissão disciplinar, determinado pelo artigo 32, e ou, ao que se enquadrarem nos seguintes termos.</v>
          </cell>
        </row>
        <row r="94">
          <cell r="D94" t="str">
            <v>Funcionário contratado por dia ( com exclusão aos funcionários que excedam 1 mês de trabalho).</v>
          </cell>
        </row>
        <row r="96">
          <cell r="D96" t="str">
            <v>Funcionários com contrato determinado em até 2 meses ( com exclusão aos funcionários que excedam o trabalho além desse período)</v>
          </cell>
        </row>
        <row r="104">
          <cell r="D104" t="str">
            <v>Funcionários em período de experiência ( com exclusão aos fncionários que exerçam o trabalho além dos 14 dias).</v>
          </cell>
        </row>
        <row r="107">
          <cell r="C107" t="str">
            <v>Demissão em decorrência do tópico 1, com cobrança e ou, reclamações do funcionário, será anexado documento com o motivo da demissão.</v>
          </cell>
        </row>
        <row r="111">
          <cell r="B111" t="str">
            <v>ARTIGO 31 (TIPOS DE DISCIPLINA)</v>
          </cell>
        </row>
        <row r="114">
          <cell r="D114" t="str">
            <v>Estão divididas, conforme as atitudes disciplinares.</v>
          </cell>
        </row>
        <row r="116">
          <cell r="D116" t="str">
            <v>Advertência</v>
          </cell>
          <cell r="F116" t="str">
            <v xml:space="preserve">Deverá ser preenchido o termo de ocorrência, que servirá como prova para adventos futuros.            </v>
          </cell>
        </row>
        <row r="119">
          <cell r="D119" t="str">
            <v>Redução Salarial</v>
          </cell>
          <cell r="F119" t="str">
            <v>Deverá ser preenchido o termo de ocorrência e, será reduzido o valor salarial. Porém, a redução não será</v>
          </cell>
        </row>
        <row r="120">
          <cell r="F120" t="str">
            <v>menor que a metade do valor diário, ou não será maior que a décima parte do pagamento.</v>
          </cell>
        </row>
        <row r="122">
          <cell r="D122" t="str">
            <v>Suspensão do trabalho</v>
          </cell>
          <cell r="F122" t="str">
            <v>Deverá ser preenchido o termo de ocorrência,  estipulando-se o limite de até 7 dias, sem direito à remuneração durante este período.</v>
          </cell>
        </row>
        <row r="124">
          <cell r="D124" t="str">
            <v>Demissão disciplinar</v>
          </cell>
          <cell r="F124" t="str">
            <v xml:space="preserve">Será feita a demissão imediata.       </v>
          </cell>
        </row>
        <row r="128">
          <cell r="B128" t="str">
            <v>ARTIGO 32 ( RAZÕES DISCIPLINARES )</v>
          </cell>
        </row>
        <row r="131">
          <cell r="C131" t="str">
            <v>O funcionário que se enquadrar nos termos abaixo, conforme condições, sofrerá repreensão, redução salarial e ou, suspensão dos dias de trabalho.</v>
          </cell>
        </row>
        <row r="133">
          <cell r="D133" t="str">
            <v>Faltar, sem aviso, por 3 dias consecutivos, sem motivo justo.</v>
          </cell>
        </row>
        <row r="135">
          <cell r="D135" t="str">
            <v>Faltar, atrasar, sair antes do final do expediente, várias vezes, negligenciando o trabalho, sem ter um motivo justo.</v>
          </cell>
        </row>
        <row r="137">
          <cell r="D137" t="str">
            <v>Por negligência causar danos à empresa.</v>
          </cell>
        </row>
        <row r="139">
          <cell r="D139" t="str">
            <v>Por incontinência de conduta e mau procedimento, causar distúrbio na ordem e moral pública.</v>
          </cell>
        </row>
        <row r="141">
          <cell r="D141" t="str">
            <v>Na violação do artigo 10 ou 11 .......... Artigo 11 ( proibição de abuso sexual ).</v>
          </cell>
        </row>
        <row r="143">
          <cell r="D143" t="str">
            <v xml:space="preserve">Outras violações nos regulamentos, e ou, desconformidade nas atitudes que se enquadrem nos termos anteriores. </v>
          </cell>
        </row>
        <row r="147">
          <cell r="C147" t="str">
            <v>Ao enquadrar-se em um dos termos abaixo, será demitido disciplinarmente. Nesse caso, conforme a licença da Agência Oficial de Administração, segundo artigo 20,</v>
          </cell>
        </row>
        <row r="148">
          <cell r="C148" t="str">
            <v>da legislação trabalhista, vê-se desobrigado do pagamento de tributos referentes da não notificação de demissão (30 dias). Contudo, em virtude das condições</v>
          </cell>
        </row>
        <row r="149">
          <cell r="C149" t="str">
            <v>de trabalho, conforme artigo 23, pode ser alterado para demissão normal, diminuição salarial ou suspensão dos dias de trabalho.</v>
          </cell>
        </row>
        <row r="151">
          <cell r="D151" t="str">
            <v>For constatado falsidade nos dados de grande importância na sua contratação.</v>
          </cell>
        </row>
        <row r="153">
          <cell r="D153" t="str">
            <v>Sem justo motivo, faltar por mais de 7 dias consecutivos, e não corresponder pela cobrança na presença no trabalho.</v>
          </cell>
        </row>
        <row r="155">
          <cell r="D155" t="str">
            <v>Sem justo motivo, faltar, atrasar, sair antes do final do expediente por várias vezes, e na terceira advertência admitir que não há melhora.</v>
          </cell>
        </row>
        <row r="157">
          <cell r="D157" t="str">
            <v>Sem justo motivo, por várias vezes, não obedecer ordens verbais ou por escrito.</v>
          </cell>
        </row>
        <row r="159">
          <cell r="D159" t="str">
            <v>Conscientemente e ou, negligentemente, causar graves danos à empresa.</v>
          </cell>
        </row>
        <row r="161">
          <cell r="D161" t="str">
            <v>Independentemente do local, tenha ações que transgridam o código penal, e estas venham à conhecimento.</v>
          </cell>
        </row>
        <row r="163">
          <cell r="D163" t="str">
            <v>Por incontinência de conduta e mau procedimento, causar distúrbio na ordem e moral pública, dentro da empresa.</v>
          </cell>
        </row>
        <row r="165">
          <cell r="D165" t="str">
            <v>Por várias vezes, receber advertência disciplinar, e admitir que não há perspectiva de melhora.</v>
          </cell>
        </row>
        <row r="168">
          <cell r="D168" t="str">
            <v xml:space="preserve">Por atos lesivos à honra e à boa fama, como gestos ou palavras que importem em expor à outrem ao desprezo de terceiros ou por qualquer meio  </v>
          </cell>
        </row>
        <row r="169">
          <cell r="D169" t="str">
            <v>magoá-lo em sua dignidade pessoal, causando um ambiente de trabalho inóspito, causando prejuízos financeiros parciais à empresa.</v>
          </cell>
        </row>
        <row r="171">
          <cell r="D171" t="str">
            <v>Sem prévia autorização, usufruir do local e de bens da empresa, para benefício próprio.</v>
          </cell>
        </row>
        <row r="173">
          <cell r="D173" t="str">
            <v xml:space="preserve">Por aceitar suborno e ato de extorsão, visando benefício próprio, por abuso de cargo ou poder. </v>
          </cell>
        </row>
        <row r="175">
          <cell r="D175" t="str">
            <v>Por atitudes na vida pessoal, ou difamações contra a empresa, venham a prejudicar e ou, causar sérios danos à imagem e nome  da empresa.</v>
          </cell>
        </row>
        <row r="177">
          <cell r="D177" t="str">
            <v>Por violação do segredo da empresa, venha a causar danos e ou, prejudicar o andamento dos negócios da empresa.</v>
          </cell>
        </row>
        <row r="179">
          <cell r="D179" t="str">
            <v>Outros atos que se enquadrem nos níveis dos termos citados anteriormente.</v>
          </cell>
        </row>
        <row r="182">
          <cell r="C182" t="str">
            <v>Demissão disciplinar  em decorrência do tópico 2, com cobrança pelo funcionário, será anexado documento com o motivo da demissão.</v>
          </cell>
        </row>
        <row r="186">
          <cell r="B186" t="str">
            <v>ARTIGO 33 ( ATENTADO )</v>
          </cell>
        </row>
        <row r="189">
          <cell r="C189" t="str">
            <v>Praticar ou planejar atos atentórios, mesmo sem resultados concretos se enquadra no artigo anterior.</v>
          </cell>
        </row>
        <row r="193">
          <cell r="B193" t="str">
            <v xml:space="preserve"> Compreendi os termos acima.</v>
          </cell>
        </row>
        <row r="196">
          <cell r="D196" t="str">
            <v>Data</v>
          </cell>
        </row>
        <row r="200">
          <cell r="D200" t="str">
            <v>Assinatura</v>
          </cell>
        </row>
      </sheetData>
      <sheetData sheetId="23">
        <row r="2">
          <cell r="B2" t="str">
            <v>TERMO DE USO DO ALOJAMENTO E TERMO DE COMPROMISSO</v>
          </cell>
        </row>
        <row r="5">
          <cell r="R5" t="str">
            <v>Local de trabalho</v>
          </cell>
        </row>
        <row r="7">
          <cell r="R7" t="str">
            <v>Nome</v>
          </cell>
        </row>
        <row r="10">
          <cell r="C10" t="str">
            <v>Ocupação, desocupação e utilização do alojamento</v>
          </cell>
        </row>
        <row r="13">
          <cell r="C13" t="str">
            <v>Neste momento, ao receber a autorização para ocupar o alojamento abaixo citado, e durante a permanência no imóvel, prometo seguir as normas estabelecidas pela empresa.</v>
          </cell>
        </row>
        <row r="16">
          <cell r="C16" t="str">
            <v>Pertences pessoais(Eletrodomésticos recicláveis)</v>
          </cell>
        </row>
        <row r="18">
          <cell r="D18" t="str">
            <v>Quando for desocupar o alojamento leve todos os seus pertences, se deixar algum eletrodoméstico reciclável como geladeira,</v>
          </cell>
        </row>
        <row r="19">
          <cell r="D19" t="str">
            <v>máquina de lavar, televisão, ar condicionado, etc; se responsabilizará pelas despesas de remoção.</v>
          </cell>
        </row>
        <row r="22">
          <cell r="C22" t="str">
            <v>Pertences pessoais (Outros)</v>
          </cell>
        </row>
        <row r="24">
          <cell r="D24" t="str">
            <v>Quando for desocupar o alojamento leve todos os seus pertences, se deixar algum produto ou material; se responsabilizará pelas despesas de remoção.</v>
          </cell>
        </row>
        <row r="27">
          <cell r="C27" t="str">
            <v>Não perfure as paredes com pregos e percevejos</v>
          </cell>
        </row>
        <row r="29">
          <cell r="D29" t="str">
            <v>Quando for desocupar do alojamento o responsável fará uma vistoria geral na sua presença, caso haja necessidade de reparação, se responsabilizará pelas despesas.</v>
          </cell>
        </row>
        <row r="32">
          <cell r="C32" t="str">
            <v>Linha telefônica e internet</v>
          </cell>
        </row>
        <row r="34">
          <cell r="D34" t="str">
            <v>Antes de desocupar o alojamento solicitar o serviço de cancelamento ou alteração de endereço.</v>
          </cell>
        </row>
        <row r="37">
          <cell r="C37" t="str">
            <v>Demissão ou mudança de serviço</v>
          </cell>
        </row>
        <row r="39">
          <cell r="D39" t="str">
            <v>Desocupar ou mudar de alojamento dentro do prazo determinado.</v>
          </cell>
        </row>
        <row r="42">
          <cell r="C42" t="str">
            <v>Não incomodar a vizinhança</v>
          </cell>
        </row>
        <row r="44">
          <cell r="D44" t="str">
            <v>Não conversar em voz alta, não deixar o volume do aparelho de som muito alto, é proibido fazer churrasco no quintal ou varanda do alojamento.</v>
          </cell>
        </row>
        <row r="47">
          <cell r="C47" t="str">
            <v xml:space="preserve">Fumar dentro do alojamento </v>
          </cell>
        </row>
        <row r="49">
          <cell r="D49" t="str">
            <v>É permitido fumar dentro do alojamento, (tomar cuidado com incêndio). Porém a nicotina pode manchar o papel de parede, caso haja necessidade de reparação, se responsabilizará pelas despesas.</v>
          </cell>
        </row>
        <row r="52">
          <cell r="C52" t="str">
            <v>Estacionamento</v>
          </cell>
        </row>
        <row r="54">
          <cell r="D54" t="str">
            <v>Será proibido emprestar a vaga do estacionamento à terceiros não contratados. Caso o veículo do mesmo se envolver em algum acidente ou problema a empresa não se envolverá.</v>
          </cell>
        </row>
        <row r="57">
          <cell r="C57" t="str">
            <v>Dia da devolução do alojamento</v>
          </cell>
        </row>
        <row r="59">
          <cell r="D59" t="str">
            <v>Entregar a chave emprestada do alojamento na data previamente determinada na presença do responsável.</v>
          </cell>
        </row>
        <row r="63">
          <cell r="B63" t="str">
            <v>Aluguel do Apartamento</v>
          </cell>
          <cell r="N63" t="str">
            <v>Aluguel do alojamento</v>
          </cell>
        </row>
        <row r="65">
          <cell r="D65" t="str">
            <v>Devolução do apartamento em menos de 15 dias após o fechamento.</v>
          </cell>
          <cell r="P65" t="str">
            <v>Saída do alojamento dentro de 10 dias após o fechamento.</v>
          </cell>
        </row>
        <row r="67">
          <cell r="E67" t="str">
            <v>Será cobrado 1/2 do aluguel (estacionamento será calculado por dia)</v>
          </cell>
          <cell r="Q67" t="str">
            <v>Será cobrado 1/3 do aluguel (estacionamento será calculado por dia).</v>
          </cell>
        </row>
        <row r="70">
          <cell r="D70" t="str">
            <v>Devolução do apartamento após 16 dias do fechamento</v>
          </cell>
          <cell r="P70" t="str">
            <v>Saída do alojamento dentro de 20 dias após o fechamento.</v>
          </cell>
        </row>
        <row r="72">
          <cell r="E72" t="str">
            <v>Será cobrado o aluguel integral (estacionamento será calculado por dia)</v>
          </cell>
          <cell r="Q72" t="str">
            <v>Será cobrado 2/3 do aluguel (estacionamento será calculado por dia).</v>
          </cell>
        </row>
        <row r="75">
          <cell r="P75" t="str">
            <v>Saída do alojamento acima de 21 dias após o fechamento.</v>
          </cell>
        </row>
        <row r="77">
          <cell r="Q77" t="str">
            <v>Será cobrado o aluguel integral (estacionamento será calculado por dia).</v>
          </cell>
        </row>
        <row r="80">
          <cell r="B80" t="str">
            <v>Despesas de água, luz, gás, etc</v>
          </cell>
        </row>
        <row r="82">
          <cell r="D82" t="str">
            <v>Será descontado o valor pela média estimada até o dia da devolução do alojamento.</v>
          </cell>
        </row>
        <row r="84">
          <cell r="E84" t="str">
            <v>Será calculado pela média dos 3 últimos meses até o dia da devolução do alojamento.</v>
          </cell>
        </row>
        <row r="87">
          <cell r="B87" t="str">
            <v>Li e concordo com os termos acima.</v>
          </cell>
        </row>
        <row r="92">
          <cell r="B92" t="str">
            <v>Se por algum motivo eu violar as normas e ocasianar custos de reparação e remoção para a empresa, solicito que seja deduzido do meu último salário a quantia entre 10,000 a 30,000 ienes</v>
          </cell>
        </row>
        <row r="93">
          <cell r="B93" t="str">
            <v>referente à limpeza do imóvel.</v>
          </cell>
        </row>
        <row r="94">
          <cell r="B94" t="str">
            <v>Mas, se as despesas ultrapassarem a quantia acima de 30,000 ienes, deverá ser discutido e decidido entre ambas as partes.</v>
          </cell>
        </row>
        <row r="97">
          <cell r="E97" t="str">
            <v>Data</v>
          </cell>
        </row>
        <row r="102">
          <cell r="E102" t="str">
            <v>Assinatura</v>
          </cell>
        </row>
      </sheetData>
      <sheetData sheetId="24"/>
      <sheetData sheetId="25"/>
      <sheetData sheetId="26"/>
      <sheetData sheetId="27"/>
      <sheetData sheetId="28"/>
      <sheetData sheetId="29"/>
      <sheetData sheetId="30"/>
      <sheetData sheetId="31"/>
      <sheetData sheetId="32"/>
      <sheetData sheetId="33"/>
      <sheetData sheetId="34"/>
      <sheetData sheetId="35"/>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目次"/>
      <sheetName val="身上書"/>
      <sheetName val="身上書JP"/>
      <sheetName val="雇用保険　退職報告書"/>
      <sheetName val="解雇・退職勧奨"/>
      <sheetName val="寮移動票"/>
      <sheetName val="早期精算届"/>
      <sheetName val="退職届"/>
      <sheetName val="前渡金.給与控除"/>
      <sheetName val="給与控除 (ビザ代・布団代)"/>
      <sheetName val="入力フォーム"/>
      <sheetName val="データシート"/>
      <sheetName val="退職者"/>
      <sheetName val="業務内容"/>
      <sheetName val="雇用契約書シート"/>
      <sheetName val="個人在籍簿"/>
      <sheetName val="履歴書"/>
      <sheetName val="雇用保険・入社報告書"/>
      <sheetName val="社会保険加入者連絡票"/>
      <sheetName val="備品リース料 (込み)"/>
      <sheetName val="備品リース料"/>
      <sheetName val="制服貸与申請書"/>
      <sheetName val="健康診断票"/>
      <sheetName val="扶養控除MyNumber"/>
      <sheetName val="教育・解雇"/>
      <sheetName val="寮の使用規定"/>
      <sheetName val="TERMO DE COMPROMISSO Ⅲ"/>
      <sheetName val="初期教育理解度 (安全衛生)"/>
      <sheetName val="初期教育理解度"/>
      <sheetName val="初期教育理解度 (2)"/>
      <sheetName val="引っ越し費用"/>
      <sheetName val="入社前準備"/>
      <sheetName val="入社前準備 (宮崎)"/>
      <sheetName val="写真"/>
      <sheetName val="紹介制度"/>
      <sheetName val="紹介制度申請・確認書・支払案内書"/>
      <sheetName val="日系人用　会社外紹介制度申請・確認書・支払案内書"/>
      <sheetName val="紹介制度経歴 (2)"/>
      <sheetName val="紹介制度経歴旧"/>
      <sheetName val="入社祝い金制度申請・確認書・支払案内書"/>
      <sheetName val="入社祝い金制度申請・確認書・支払案内書 (2回)"/>
      <sheetName val="入社祝金制度経歴"/>
      <sheetName val="引っ越し費用経歴"/>
      <sheetName val="秘密保持等に関する誓約書"/>
      <sheetName val="個人情報資料1"/>
      <sheetName val="個人情報資料2"/>
      <sheetName val="個人在籍簿 (編集用)"/>
      <sheetName val="個人在籍簿 (異動)"/>
      <sheetName val="入社教育確認"/>
      <sheetName val="注文書"/>
      <sheetName val="リスト"/>
      <sheetName val="退職者リスト"/>
      <sheetName val="入門カード"/>
      <sheetName val="給与控除申込書(生活サポート品）　"/>
      <sheetName val="生活サポート品一覧"/>
      <sheetName val="紹介制度申請・確認書・支払案内書 (本社へ)"/>
      <sheetName val="雇用契約書シート (英語)"/>
      <sheetName val="入社前準備 (英語)"/>
      <sheetName val="TERMO DE COMPROMISSO Ⅲ (英語)"/>
      <sheetName val="初期教育理解度 (英語)"/>
      <sheetName val="個人情報資料1 (英語)"/>
      <sheetName val="ボナス制度"/>
      <sheetName val="MyNumber"/>
      <sheetName val="テスト１"/>
    </sheetNames>
    <sheetDataSet>
      <sheetData sheetId="0"/>
      <sheetData sheetId="1"/>
      <sheetData sheetId="2"/>
      <sheetData sheetId="3"/>
      <sheetData sheetId="4"/>
      <sheetData sheetId="5">
        <row r="5">
          <cell r="AR5" t="str">
            <v>Local Trabalho</v>
          </cell>
        </row>
      </sheetData>
      <sheetData sheetId="6"/>
      <sheetData sheetId="7">
        <row r="4">
          <cell r="B4" t="str">
            <v>CARTA  DE  DEMISSÃO</v>
          </cell>
        </row>
      </sheetData>
      <sheetData sheetId="8"/>
      <sheetData sheetId="9"/>
      <sheetData sheetId="10">
        <row r="105">
          <cell r="H105">
            <v>0</v>
          </cell>
        </row>
      </sheetData>
      <sheetData sheetId="11"/>
      <sheetData sheetId="12"/>
      <sheetData sheetId="13"/>
      <sheetData sheetId="14"/>
      <sheetData sheetId="15"/>
      <sheetData sheetId="16"/>
      <sheetData sheetId="17"/>
      <sheetData sheetId="18"/>
      <sheetData sheetId="19"/>
      <sheetData sheetId="20">
        <row r="6">
          <cell r="B6" t="str">
            <v>Local trabalho</v>
          </cell>
        </row>
      </sheetData>
      <sheetData sheetId="21">
        <row r="2">
          <cell r="BH2" t="str">
            <v>M</v>
          </cell>
          <cell r="BJ2">
            <v>22</v>
          </cell>
        </row>
        <row r="3">
          <cell r="BH3" t="str">
            <v>L</v>
          </cell>
          <cell r="BJ3">
            <v>22.5</v>
          </cell>
        </row>
        <row r="4">
          <cell r="BH4" t="str">
            <v>２L</v>
          </cell>
          <cell r="BJ4">
            <v>23</v>
          </cell>
        </row>
        <row r="5">
          <cell r="BH5" t="str">
            <v>３L</v>
          </cell>
          <cell r="BJ5">
            <v>23.5</v>
          </cell>
        </row>
        <row r="6">
          <cell r="BH6" t="str">
            <v>４L</v>
          </cell>
          <cell r="BJ6">
            <v>24</v>
          </cell>
        </row>
        <row r="7">
          <cell r="BH7" t="str">
            <v>５L</v>
          </cell>
          <cell r="BJ7">
            <v>24.5</v>
          </cell>
        </row>
        <row r="8">
          <cell r="BH8" t="str">
            <v>-</v>
          </cell>
          <cell r="BJ8">
            <v>25</v>
          </cell>
        </row>
        <row r="9">
          <cell r="BH9" t="str">
            <v>-</v>
          </cell>
          <cell r="BJ9">
            <v>25.5</v>
          </cell>
        </row>
        <row r="10">
          <cell r="BJ10">
            <v>26</v>
          </cell>
        </row>
        <row r="11">
          <cell r="BJ11">
            <v>26.5</v>
          </cell>
        </row>
        <row r="12">
          <cell r="BJ12">
            <v>27</v>
          </cell>
        </row>
        <row r="13">
          <cell r="BJ13">
            <v>27.5</v>
          </cell>
        </row>
        <row r="14">
          <cell r="BJ14">
            <v>28</v>
          </cell>
        </row>
        <row r="15">
          <cell r="BJ15">
            <v>29</v>
          </cell>
        </row>
        <row r="16">
          <cell r="BJ16">
            <v>30</v>
          </cell>
        </row>
        <row r="17">
          <cell r="BJ17">
            <v>31</v>
          </cell>
        </row>
      </sheetData>
      <sheetData sheetId="22"/>
      <sheetData sheetId="23"/>
      <sheetData sheetId="24">
        <row r="2">
          <cell r="B2" t="str">
            <v>INSTRUÇÕES NO ATO DA CONTRATAÇÃO</v>
          </cell>
        </row>
      </sheetData>
      <sheetData sheetId="25">
        <row r="2">
          <cell r="B2" t="str">
            <v>TERMO DE USO DO ALOJAMENTO E TERMO DE COMPROMISSO</v>
          </cell>
        </row>
      </sheetData>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Y465"/>
  <sheetViews>
    <sheetView showGridLines="0" tabSelected="1" topLeftCell="A10" zoomScaleNormal="100" workbookViewId="0">
      <selection activeCell="Q21" sqref="Q21"/>
    </sheetView>
  </sheetViews>
  <sheetFormatPr defaultRowHeight="18.45" x14ac:dyDescent="0.65"/>
  <cols>
    <col min="1" max="1" width="2.42578125" style="5" customWidth="1"/>
    <col min="2" max="2" width="4.7109375" customWidth="1"/>
    <col min="3" max="12" width="9" customWidth="1"/>
    <col min="13" max="13" width="4.42578125" customWidth="1"/>
    <col min="14" max="14" width="2.42578125" style="5" customWidth="1"/>
  </cols>
  <sheetData>
    <row r="1" spans="1:25" ht="23.05" customHeight="1" thickTop="1" x14ac:dyDescent="0.45">
      <c r="A1" s="8"/>
      <c r="B1" s="11"/>
      <c r="C1" s="12"/>
      <c r="D1" s="12"/>
      <c r="E1" s="12"/>
      <c r="F1" s="12"/>
      <c r="G1" s="12"/>
      <c r="H1" s="12"/>
      <c r="I1" s="12"/>
      <c r="J1" s="12"/>
      <c r="K1" s="50" t="s">
        <v>838</v>
      </c>
      <c r="L1" s="50"/>
      <c r="M1" s="51"/>
      <c r="N1" s="8"/>
    </row>
    <row r="2" spans="1:25" ht="25.3" x14ac:dyDescent="0.65">
      <c r="A2" s="8"/>
      <c r="B2" s="13"/>
      <c r="C2" s="52" t="s">
        <v>839</v>
      </c>
      <c r="D2" s="52"/>
      <c r="E2" s="52"/>
      <c r="F2" s="52"/>
      <c r="G2" s="52"/>
      <c r="H2" s="52"/>
      <c r="I2" s="52"/>
      <c r="J2" s="52"/>
      <c r="K2" s="52"/>
      <c r="L2" s="52"/>
      <c r="M2" s="14"/>
      <c r="N2" s="8"/>
    </row>
    <row r="3" spans="1:25" ht="25.5" customHeight="1" x14ac:dyDescent="0.65">
      <c r="A3" s="8"/>
      <c r="B3" s="15"/>
      <c r="C3" s="53" t="s">
        <v>840</v>
      </c>
      <c r="D3" s="53"/>
      <c r="E3" s="53"/>
      <c r="F3" s="53"/>
      <c r="G3" s="53"/>
      <c r="H3" s="53"/>
      <c r="I3" s="53"/>
      <c r="J3" s="53"/>
      <c r="K3" s="53"/>
      <c r="L3" s="53"/>
      <c r="M3" s="16"/>
      <c r="N3" s="8"/>
    </row>
    <row r="4" spans="1:25" ht="9" customHeight="1" x14ac:dyDescent="0.65">
      <c r="A4" s="8"/>
      <c r="B4" s="17"/>
      <c r="C4" s="18"/>
      <c r="D4" s="18"/>
      <c r="E4" s="18"/>
      <c r="F4" s="18"/>
      <c r="G4" s="18"/>
      <c r="H4" s="18"/>
      <c r="I4" s="18"/>
      <c r="J4" s="18"/>
      <c r="K4" s="18"/>
      <c r="L4" s="18"/>
      <c r="M4" s="19"/>
      <c r="N4" s="8"/>
    </row>
    <row r="5" spans="1:25" ht="32.25" customHeight="1" x14ac:dyDescent="0.65">
      <c r="A5" s="8"/>
      <c r="B5" s="15"/>
      <c r="C5" s="54" t="s">
        <v>835</v>
      </c>
      <c r="D5" s="55"/>
      <c r="E5" s="56"/>
      <c r="F5" s="57" t="s">
        <v>841</v>
      </c>
      <c r="G5" s="57"/>
      <c r="H5" s="57"/>
      <c r="I5" s="57"/>
      <c r="J5" s="57"/>
      <c r="K5" s="57"/>
      <c r="L5" s="58"/>
      <c r="M5" s="16"/>
      <c r="N5" s="8"/>
    </row>
    <row r="6" spans="1:25" ht="32.25" customHeight="1" x14ac:dyDescent="0.65">
      <c r="A6" s="8"/>
      <c r="B6" s="15"/>
      <c r="C6" s="45" t="s">
        <v>842</v>
      </c>
      <c r="D6" s="46"/>
      <c r="E6" s="47"/>
      <c r="F6" s="48" t="s">
        <v>836</v>
      </c>
      <c r="G6" s="48"/>
      <c r="H6" s="48"/>
      <c r="I6" s="48"/>
      <c r="J6" s="48"/>
      <c r="K6" s="48"/>
      <c r="L6" s="49"/>
      <c r="M6" s="16"/>
      <c r="N6" s="8"/>
    </row>
    <row r="7" spans="1:25" ht="32.25" customHeight="1" x14ac:dyDescent="0.65">
      <c r="A7" s="8"/>
      <c r="B7" s="15"/>
      <c r="C7" s="62" t="s">
        <v>843</v>
      </c>
      <c r="D7" s="63"/>
      <c r="E7" s="64"/>
      <c r="F7" s="65" t="s">
        <v>873</v>
      </c>
      <c r="G7" s="65"/>
      <c r="H7" s="65"/>
      <c r="I7" s="65"/>
      <c r="J7" s="65"/>
      <c r="K7" s="65"/>
      <c r="L7" s="66"/>
      <c r="M7" s="16"/>
      <c r="N7" s="8"/>
    </row>
    <row r="8" spans="1:25" ht="32.25" customHeight="1" x14ac:dyDescent="0.65">
      <c r="A8" s="8"/>
      <c r="B8" s="15"/>
      <c r="C8" s="67" t="s">
        <v>844</v>
      </c>
      <c r="D8" s="68"/>
      <c r="E8" s="69"/>
      <c r="F8" s="70" t="s">
        <v>837</v>
      </c>
      <c r="G8" s="70"/>
      <c r="H8" s="70"/>
      <c r="I8" s="70"/>
      <c r="J8" s="70"/>
      <c r="K8" s="70"/>
      <c r="L8" s="71"/>
      <c r="M8" s="16"/>
      <c r="N8" s="8"/>
    </row>
    <row r="9" spans="1:25" x14ac:dyDescent="0.65">
      <c r="A9" s="8"/>
      <c r="B9" s="15"/>
      <c r="C9" s="8"/>
      <c r="D9" s="8"/>
      <c r="E9" s="8"/>
      <c r="F9" s="8"/>
      <c r="G9" s="8"/>
      <c r="H9" s="8"/>
      <c r="I9" s="8"/>
      <c r="J9" s="8"/>
      <c r="K9" s="18"/>
      <c r="L9" s="18"/>
      <c r="M9" s="16"/>
      <c r="N9" s="8"/>
    </row>
    <row r="10" spans="1:25" ht="22.5" customHeight="1" x14ac:dyDescent="0.65">
      <c r="A10" s="8"/>
      <c r="B10" s="15"/>
      <c r="C10" s="72" t="s">
        <v>845</v>
      </c>
      <c r="D10" s="73"/>
      <c r="E10" s="73"/>
      <c r="F10" s="73"/>
      <c r="G10" s="73"/>
      <c r="H10" s="74" t="s">
        <v>846</v>
      </c>
      <c r="I10" s="75"/>
      <c r="J10" s="75"/>
      <c r="K10" s="75"/>
      <c r="L10" s="76"/>
      <c r="M10" s="16"/>
      <c r="N10" s="8"/>
    </row>
    <row r="11" spans="1:25" x14ac:dyDescent="0.65">
      <c r="A11" s="8"/>
      <c r="B11" s="15"/>
      <c r="C11" s="77" t="s">
        <v>847</v>
      </c>
      <c r="D11" s="79" t="s">
        <v>848</v>
      </c>
      <c r="E11" s="80"/>
      <c r="F11" s="82" t="str">
        <f>B210</f>
        <v>{{渡航費金額(円）}}</v>
      </c>
      <c r="G11" s="82"/>
      <c r="H11" s="82"/>
      <c r="I11" s="82"/>
      <c r="J11" s="82"/>
      <c r="K11" s="82"/>
      <c r="L11" s="83"/>
      <c r="M11" s="16"/>
      <c r="N11" s="8"/>
    </row>
    <row r="12" spans="1:25" ht="22.5" customHeight="1" x14ac:dyDescent="0.65">
      <c r="A12" s="8"/>
      <c r="B12" s="15"/>
      <c r="C12" s="78"/>
      <c r="D12" s="81"/>
      <c r="E12" s="69"/>
      <c r="F12" s="84"/>
      <c r="G12" s="84"/>
      <c r="H12" s="84"/>
      <c r="I12" s="84"/>
      <c r="J12" s="84"/>
      <c r="K12" s="84"/>
      <c r="L12" s="85"/>
      <c r="M12" s="16"/>
      <c r="N12" s="8"/>
    </row>
    <row r="13" spans="1:25" ht="21" customHeight="1" x14ac:dyDescent="0.65">
      <c r="A13" s="8"/>
      <c r="B13" s="15"/>
      <c r="C13" s="8"/>
      <c r="D13" s="8"/>
      <c r="E13" s="8"/>
      <c r="F13" s="20"/>
      <c r="G13" s="20"/>
      <c r="H13" s="20"/>
      <c r="I13" s="21"/>
      <c r="J13" s="21"/>
      <c r="K13" s="22"/>
      <c r="L13" s="18"/>
      <c r="M13" s="16"/>
      <c r="N13" s="8"/>
    </row>
    <row r="14" spans="1:25" ht="27.75" customHeight="1" x14ac:dyDescent="0.65">
      <c r="A14" s="8"/>
      <c r="B14" s="15"/>
      <c r="C14" s="86" t="s">
        <v>849</v>
      </c>
      <c r="D14" s="86"/>
      <c r="E14" s="86"/>
      <c r="F14" s="86"/>
      <c r="G14" s="86"/>
      <c r="H14" s="86"/>
      <c r="I14" s="86"/>
      <c r="J14" s="86"/>
      <c r="K14" s="86"/>
      <c r="L14" s="86"/>
      <c r="M14" s="16"/>
      <c r="N14" s="8"/>
      <c r="P14" s="87"/>
      <c r="Q14" s="87"/>
      <c r="R14" s="87"/>
      <c r="S14" s="87"/>
      <c r="T14" s="87"/>
      <c r="U14" s="87"/>
      <c r="V14" s="87"/>
      <c r="W14" s="87"/>
      <c r="X14" s="87"/>
      <c r="Y14" s="87"/>
    </row>
    <row r="15" spans="1:25" ht="22.5" customHeight="1" x14ac:dyDescent="0.65">
      <c r="A15" s="8"/>
      <c r="B15" s="15"/>
      <c r="C15" s="59" t="s">
        <v>874</v>
      </c>
      <c r="D15" s="59"/>
      <c r="E15" s="59"/>
      <c r="F15" s="59"/>
      <c r="G15" s="59"/>
      <c r="H15" s="59"/>
      <c r="I15" s="59"/>
      <c r="J15" s="59"/>
      <c r="K15" s="59"/>
      <c r="L15" s="59"/>
      <c r="M15" s="16"/>
      <c r="N15" s="8"/>
      <c r="P15" s="60"/>
      <c r="Q15" s="60"/>
      <c r="R15" s="61"/>
      <c r="S15" s="61"/>
      <c r="T15" s="7"/>
      <c r="U15" s="7"/>
      <c r="V15" s="7"/>
      <c r="W15" s="7"/>
      <c r="X15" s="7"/>
      <c r="Y15" s="7"/>
    </row>
    <row r="16" spans="1:25" ht="8.25" customHeight="1" x14ac:dyDescent="0.65">
      <c r="A16" s="8"/>
      <c r="B16" s="23"/>
      <c r="C16" s="8"/>
      <c r="D16" s="8"/>
      <c r="E16" s="8"/>
      <c r="F16" s="8"/>
      <c r="G16" s="8"/>
      <c r="H16" s="9"/>
      <c r="I16" s="9"/>
      <c r="J16" s="9"/>
      <c r="K16" s="9"/>
      <c r="L16" s="9"/>
      <c r="M16" s="24"/>
      <c r="N16" s="8"/>
    </row>
    <row r="17" spans="1:14" ht="29.25" customHeight="1" x14ac:dyDescent="0.65">
      <c r="A17" s="8"/>
      <c r="B17" s="15"/>
      <c r="C17" s="25" t="s">
        <v>850</v>
      </c>
      <c r="D17" s="97" t="s">
        <v>851</v>
      </c>
      <c r="E17" s="98"/>
      <c r="F17" s="99">
        <f ca="1">TODAY()</f>
        <v>45720</v>
      </c>
      <c r="G17" s="99"/>
      <c r="H17" s="99"/>
      <c r="I17" s="99"/>
      <c r="J17" s="99"/>
      <c r="K17" s="99"/>
      <c r="L17" s="100"/>
      <c r="M17" s="16"/>
      <c r="N17" s="8"/>
    </row>
    <row r="18" spans="1:14" ht="15.75" customHeight="1" x14ac:dyDescent="0.65">
      <c r="A18" s="8"/>
      <c r="B18" s="15"/>
      <c r="C18" s="26"/>
      <c r="D18" s="27"/>
      <c r="E18" s="27"/>
      <c r="F18" s="28"/>
      <c r="G18" s="28"/>
      <c r="H18" s="28"/>
      <c r="I18" s="28"/>
      <c r="J18" s="28"/>
      <c r="K18" s="28"/>
      <c r="L18" s="28"/>
      <c r="M18" s="16"/>
      <c r="N18" s="8"/>
    </row>
    <row r="19" spans="1:14" ht="33" customHeight="1" x14ac:dyDescent="0.65">
      <c r="A19" s="8"/>
      <c r="B19" s="15"/>
      <c r="C19" s="101" t="s">
        <v>852</v>
      </c>
      <c r="D19" s="102"/>
      <c r="E19" s="103"/>
      <c r="F19" s="104" t="str">
        <f>B465</f>
        <v>{{社員 ID（STEMS）}}</v>
      </c>
      <c r="G19" s="104"/>
      <c r="H19" s="104"/>
      <c r="I19" s="104"/>
      <c r="J19" s="104"/>
      <c r="K19" s="104"/>
      <c r="L19" s="105"/>
      <c r="M19" s="16"/>
      <c r="N19" s="8"/>
    </row>
    <row r="20" spans="1:14" ht="33" customHeight="1" x14ac:dyDescent="0.65">
      <c r="A20" s="8"/>
      <c r="B20" s="15"/>
      <c r="C20" s="106" t="s">
        <v>853</v>
      </c>
      <c r="D20" s="107"/>
      <c r="E20" s="108"/>
      <c r="F20" s="109" t="s">
        <v>160</v>
      </c>
      <c r="G20" s="110"/>
      <c r="H20" s="110"/>
      <c r="I20" s="110"/>
      <c r="J20" s="110"/>
      <c r="K20" s="110"/>
      <c r="L20" s="111"/>
      <c r="M20" s="16"/>
      <c r="N20" s="8"/>
    </row>
    <row r="21" spans="1:14" ht="33" customHeight="1" x14ac:dyDescent="0.65">
      <c r="A21" s="8"/>
      <c r="B21" s="15"/>
      <c r="C21" s="112" t="s">
        <v>854</v>
      </c>
      <c r="D21" s="113"/>
      <c r="E21" s="114"/>
      <c r="F21" s="115" t="s">
        <v>158</v>
      </c>
      <c r="G21" s="116"/>
      <c r="H21" s="116"/>
      <c r="I21" s="116"/>
      <c r="J21" s="116"/>
      <c r="K21" s="116"/>
      <c r="L21" s="117"/>
      <c r="M21" s="16"/>
      <c r="N21" s="8"/>
    </row>
    <row r="22" spans="1:14" ht="28.5" customHeight="1" x14ac:dyDescent="0.65">
      <c r="A22" s="8"/>
      <c r="B22" s="15"/>
      <c r="C22" s="118" t="s">
        <v>855</v>
      </c>
      <c r="D22" s="119"/>
      <c r="E22" s="120"/>
      <c r="F22" s="121" t="s">
        <v>877</v>
      </c>
      <c r="G22" s="122"/>
      <c r="H22" s="122"/>
      <c r="I22" s="122"/>
      <c r="J22" s="122"/>
      <c r="K22" s="122"/>
      <c r="L22" s="123"/>
      <c r="M22" s="16"/>
      <c r="N22" s="8"/>
    </row>
    <row r="23" spans="1:14" ht="20.25" customHeight="1" x14ac:dyDescent="0.65">
      <c r="A23" s="8"/>
      <c r="B23" s="15"/>
      <c r="C23" s="127" t="s">
        <v>856</v>
      </c>
      <c r="D23" s="128"/>
      <c r="E23" s="129"/>
      <c r="F23" s="124"/>
      <c r="G23" s="125"/>
      <c r="H23" s="125"/>
      <c r="I23" s="125"/>
      <c r="J23" s="125"/>
      <c r="K23" s="125"/>
      <c r="L23" s="126"/>
      <c r="M23" s="16"/>
      <c r="N23" s="8"/>
    </row>
    <row r="24" spans="1:14" ht="16.5" customHeight="1" x14ac:dyDescent="0.65">
      <c r="A24" s="8"/>
      <c r="B24" s="15"/>
      <c r="C24" s="88" t="s">
        <v>875</v>
      </c>
      <c r="D24" s="89"/>
      <c r="E24" s="90"/>
      <c r="F24" s="8"/>
      <c r="G24" s="8"/>
      <c r="H24" s="8"/>
      <c r="I24" s="8"/>
      <c r="J24" s="8"/>
      <c r="K24" s="8"/>
      <c r="L24" s="29"/>
      <c r="M24" s="16"/>
      <c r="N24" s="8"/>
    </row>
    <row r="25" spans="1:14" ht="40.5" customHeight="1" x14ac:dyDescent="0.65">
      <c r="A25" s="8"/>
      <c r="B25" s="30"/>
      <c r="C25" s="88"/>
      <c r="D25" s="89"/>
      <c r="E25" s="90"/>
      <c r="F25" s="31"/>
      <c r="G25" s="94"/>
      <c r="H25" s="94"/>
      <c r="I25" s="94"/>
      <c r="J25" s="94"/>
      <c r="K25" s="94"/>
      <c r="L25" s="32"/>
      <c r="M25" s="16"/>
      <c r="N25" s="8"/>
    </row>
    <row r="26" spans="1:14" ht="26.25" customHeight="1" x14ac:dyDescent="0.65">
      <c r="A26" s="8"/>
      <c r="B26" s="30"/>
      <c r="C26" s="91"/>
      <c r="D26" s="92"/>
      <c r="E26" s="93"/>
      <c r="F26" s="33"/>
      <c r="G26" s="95" t="s">
        <v>158</v>
      </c>
      <c r="H26" s="96"/>
      <c r="I26" s="96"/>
      <c r="J26" s="96"/>
      <c r="K26" s="96"/>
      <c r="L26" s="34"/>
      <c r="M26" s="16"/>
      <c r="N26" s="8"/>
    </row>
    <row r="27" spans="1:14" ht="18.899999999999999" thickBot="1" x14ac:dyDescent="0.7">
      <c r="A27" s="8"/>
      <c r="B27" s="35"/>
      <c r="C27" s="36"/>
      <c r="D27" s="36"/>
      <c r="E27" s="36"/>
      <c r="F27" s="36"/>
      <c r="G27" s="36"/>
      <c r="H27" s="36"/>
      <c r="I27" s="36"/>
      <c r="J27" s="36"/>
      <c r="K27" s="36"/>
      <c r="L27" s="36"/>
      <c r="M27" s="37"/>
      <c r="N27" s="8"/>
    </row>
    <row r="28" spans="1:14" ht="55.5" customHeight="1" thickTop="1" x14ac:dyDescent="0.65">
      <c r="A28" s="8"/>
      <c r="B28" s="38"/>
      <c r="C28" s="10"/>
      <c r="D28" s="39"/>
      <c r="E28" s="39"/>
      <c r="F28" s="40"/>
      <c r="G28" s="41"/>
      <c r="H28" s="41"/>
      <c r="I28" s="41"/>
      <c r="J28" s="41"/>
      <c r="K28" s="41"/>
      <c r="L28" s="40"/>
      <c r="M28" s="42"/>
      <c r="N28" s="8"/>
    </row>
    <row r="29" spans="1:14" x14ac:dyDescent="0.65">
      <c r="A29" s="8"/>
      <c r="B29" s="20"/>
      <c r="C29" s="130" t="s">
        <v>857</v>
      </c>
      <c r="D29" s="131"/>
      <c r="E29" s="131"/>
      <c r="F29" s="131"/>
      <c r="G29" s="131"/>
      <c r="H29" s="131"/>
      <c r="I29" s="131"/>
      <c r="J29" s="132" t="s">
        <v>858</v>
      </c>
      <c r="K29" s="130" t="s">
        <v>859</v>
      </c>
      <c r="L29" s="130"/>
      <c r="M29" s="8"/>
      <c r="N29" s="8"/>
    </row>
    <row r="30" spans="1:14" x14ac:dyDescent="0.65">
      <c r="A30" s="8"/>
      <c r="B30" s="20"/>
      <c r="C30" s="43"/>
      <c r="D30" s="43"/>
      <c r="E30" s="43"/>
      <c r="F30" s="44" t="s">
        <v>860</v>
      </c>
      <c r="G30" s="44" t="s">
        <v>860</v>
      </c>
      <c r="H30" s="44" t="s">
        <v>860</v>
      </c>
      <c r="I30" s="44" t="s">
        <v>860</v>
      </c>
      <c r="J30" s="133"/>
      <c r="K30" s="44" t="s">
        <v>861</v>
      </c>
      <c r="L30" s="44" t="s">
        <v>862</v>
      </c>
      <c r="M30" s="8"/>
      <c r="N30" s="8"/>
    </row>
    <row r="31" spans="1:14" ht="18" customHeight="1" x14ac:dyDescent="0.65">
      <c r="A31" s="8"/>
      <c r="B31" s="20"/>
      <c r="C31" s="134"/>
      <c r="D31" s="134"/>
      <c r="E31" s="134"/>
      <c r="F31" s="134" t="s">
        <v>863</v>
      </c>
      <c r="G31" s="135" t="s">
        <v>864</v>
      </c>
      <c r="H31" s="134" t="s">
        <v>865</v>
      </c>
      <c r="I31" s="134" t="s">
        <v>866</v>
      </c>
      <c r="J31" s="133"/>
      <c r="K31" s="134" t="s">
        <v>866</v>
      </c>
      <c r="L31" s="136" t="s">
        <v>867</v>
      </c>
      <c r="M31" s="8"/>
      <c r="N31" s="8"/>
    </row>
    <row r="32" spans="1:14" ht="39.75" customHeight="1" x14ac:dyDescent="0.65">
      <c r="A32" s="8"/>
      <c r="B32" s="20"/>
      <c r="C32" s="134"/>
      <c r="D32" s="134"/>
      <c r="E32" s="134"/>
      <c r="F32" s="134"/>
      <c r="G32" s="135"/>
      <c r="H32" s="134"/>
      <c r="I32" s="134"/>
      <c r="J32" s="133"/>
      <c r="K32" s="134"/>
      <c r="L32" s="136"/>
      <c r="M32" s="8"/>
      <c r="N32" s="8"/>
    </row>
    <row r="33" spans="1:14" x14ac:dyDescent="0.65">
      <c r="A33" s="8"/>
      <c r="B33" s="8"/>
      <c r="C33" s="8"/>
      <c r="D33" s="8"/>
      <c r="E33" s="8"/>
      <c r="F33" s="8"/>
      <c r="G33" s="8"/>
      <c r="H33" s="8"/>
      <c r="I33" s="8"/>
      <c r="J33" s="8"/>
      <c r="K33" s="8"/>
      <c r="L33" s="8"/>
      <c r="M33" s="8"/>
      <c r="N33" s="8"/>
    </row>
    <row r="34" spans="1:14" x14ac:dyDescent="0.65">
      <c r="A34" s="6"/>
      <c r="B34" s="5"/>
      <c r="C34" s="5"/>
      <c r="D34" s="5"/>
      <c r="E34" s="5"/>
      <c r="F34" s="5"/>
      <c r="G34" s="5"/>
      <c r="H34" s="5"/>
      <c r="I34" s="5"/>
      <c r="J34" s="5"/>
      <c r="K34" s="5"/>
      <c r="L34" s="5"/>
      <c r="M34" s="5"/>
      <c r="N34" s="6"/>
    </row>
    <row r="35" spans="1:14" x14ac:dyDescent="0.65">
      <c r="A35" s="6"/>
      <c r="B35" s="5"/>
      <c r="C35" s="5"/>
      <c r="D35" s="5"/>
      <c r="E35" s="5"/>
      <c r="F35" s="137"/>
      <c r="G35" s="5"/>
      <c r="H35" s="5"/>
      <c r="I35" s="5"/>
      <c r="J35" s="5"/>
      <c r="K35" s="5"/>
      <c r="L35" s="5"/>
      <c r="M35" s="5"/>
      <c r="N35" s="6"/>
    </row>
    <row r="36" spans="1:14" x14ac:dyDescent="0.65">
      <c r="A36" s="6"/>
      <c r="B36" s="5"/>
      <c r="C36" s="5"/>
      <c r="D36" s="5"/>
      <c r="E36" s="5"/>
      <c r="F36" s="137"/>
      <c r="G36" s="5"/>
      <c r="H36" s="5"/>
      <c r="I36" s="5"/>
      <c r="J36" s="5"/>
      <c r="K36" s="5"/>
      <c r="L36" s="5"/>
      <c r="M36" s="5"/>
      <c r="N36" s="6"/>
    </row>
    <row r="37" spans="1:14" x14ac:dyDescent="0.65">
      <c r="A37" s="6"/>
      <c r="B37" s="5"/>
      <c r="C37" s="5"/>
      <c r="D37" s="5"/>
      <c r="E37" s="5"/>
      <c r="F37" s="5"/>
      <c r="G37" s="5"/>
      <c r="H37" s="5"/>
      <c r="I37" s="5"/>
      <c r="J37" s="5"/>
      <c r="K37" s="5"/>
      <c r="L37" s="5"/>
      <c r="M37" s="5"/>
      <c r="N37" s="6"/>
    </row>
    <row r="38" spans="1:14" x14ac:dyDescent="0.65">
      <c r="A38" s="6"/>
      <c r="N38" s="6"/>
    </row>
    <row r="39" spans="1:14" x14ac:dyDescent="0.65">
      <c r="A39" s="6"/>
      <c r="N39" s="6"/>
    </row>
    <row r="40" spans="1:14" x14ac:dyDescent="0.65">
      <c r="A40" s="6"/>
      <c r="N40" s="6"/>
    </row>
    <row r="41" spans="1:14" x14ac:dyDescent="0.65">
      <c r="A41" s="6"/>
      <c r="N41" s="6"/>
    </row>
    <row r="42" spans="1:14" s="3" customFormat="1" x14ac:dyDescent="0.65">
      <c r="B42" t="s">
        <v>0</v>
      </c>
      <c r="C42" t="s">
        <v>1</v>
      </c>
      <c r="D42" s="3" t="e">
        <f>VLOOKUP(C42,#REF!,1,FALSE)</f>
        <v>#REF!</v>
      </c>
    </row>
    <row r="43" spans="1:14" s="3" customFormat="1" x14ac:dyDescent="0.65">
      <c r="B43" s="4" t="s">
        <v>2</v>
      </c>
      <c r="C43" s="4" t="s">
        <v>3</v>
      </c>
      <c r="D43" s="3" t="e">
        <f>VLOOKUP(C43,#REF!,1,FALSE)</f>
        <v>#REF!</v>
      </c>
    </row>
    <row r="44" spans="1:14" s="3" customFormat="1" x14ac:dyDescent="0.65">
      <c r="B44" s="4" t="s">
        <v>4</v>
      </c>
      <c r="C44" s="4" t="s">
        <v>5</v>
      </c>
      <c r="D44" s="3" t="e">
        <f>VLOOKUP(C44,#REF!,1,FALSE)</f>
        <v>#REF!</v>
      </c>
      <c r="I44" s="138"/>
      <c r="J44" s="138"/>
      <c r="K44" s="138"/>
      <c r="L44" s="138"/>
      <c r="M44" s="138"/>
    </row>
    <row r="45" spans="1:14" s="1" customFormat="1" x14ac:dyDescent="0.65">
      <c r="B45" s="4" t="s">
        <v>6</v>
      </c>
      <c r="C45" s="4" t="s">
        <v>7</v>
      </c>
      <c r="D45" s="3" t="e">
        <f>VLOOKUP(C45,#REF!,1,FALSE)</f>
        <v>#REF!</v>
      </c>
      <c r="I45" s="2"/>
      <c r="J45" s="2"/>
      <c r="K45" s="2"/>
      <c r="L45" s="2"/>
      <c r="M45" s="2"/>
    </row>
    <row r="46" spans="1:14" s="1" customFormat="1" x14ac:dyDescent="0.65">
      <c r="B46" s="4" t="s">
        <v>8</v>
      </c>
      <c r="C46" s="4" t="s">
        <v>9</v>
      </c>
      <c r="D46" s="3" t="e">
        <f>VLOOKUP(C46,#REF!,1,FALSE)</f>
        <v>#REF!</v>
      </c>
      <c r="I46" s="139"/>
      <c r="J46" s="139"/>
      <c r="K46" s="139"/>
      <c r="L46" s="139"/>
      <c r="M46" s="139"/>
    </row>
    <row r="47" spans="1:14" s="1" customFormat="1" x14ac:dyDescent="0.65">
      <c r="B47" s="4" t="s">
        <v>10</v>
      </c>
      <c r="C47" s="4" t="s">
        <v>11</v>
      </c>
      <c r="D47" s="3" t="e">
        <f>VLOOKUP(C47,#REF!,1,FALSE)</f>
        <v>#REF!</v>
      </c>
    </row>
    <row r="48" spans="1:14" s="1" customFormat="1" x14ac:dyDescent="0.65">
      <c r="B48" s="4" t="s">
        <v>12</v>
      </c>
      <c r="C48" s="4" t="s">
        <v>13</v>
      </c>
      <c r="D48" s="3" t="e">
        <f>VLOOKUP(C48,#REF!,1,FALSE)</f>
        <v>#REF!</v>
      </c>
    </row>
    <row r="49" spans="2:4" s="1" customFormat="1" x14ac:dyDescent="0.65">
      <c r="B49" s="4" t="s">
        <v>14</v>
      </c>
      <c r="C49" s="4" t="s">
        <v>15</v>
      </c>
      <c r="D49" s="3" t="e">
        <f>VLOOKUP(C49,#REF!,1,FALSE)</f>
        <v>#REF!</v>
      </c>
    </row>
    <row r="50" spans="2:4" s="1" customFormat="1" x14ac:dyDescent="0.65">
      <c r="B50" s="4" t="s">
        <v>16</v>
      </c>
      <c r="C50" s="4" t="s">
        <v>17</v>
      </c>
      <c r="D50" s="3" t="e">
        <f>VLOOKUP(C50,#REF!,1,FALSE)</f>
        <v>#REF!</v>
      </c>
    </row>
    <row r="51" spans="2:4" s="1" customFormat="1" x14ac:dyDescent="0.65">
      <c r="B51" s="4" t="s">
        <v>18</v>
      </c>
      <c r="C51" s="4" t="s">
        <v>19</v>
      </c>
      <c r="D51" s="3" t="e">
        <f>VLOOKUP(C51,#REF!,1,FALSE)</f>
        <v>#REF!</v>
      </c>
    </row>
    <row r="52" spans="2:4" s="1" customFormat="1" x14ac:dyDescent="0.65">
      <c r="B52" s="4" t="s">
        <v>20</v>
      </c>
      <c r="C52" s="4" t="s">
        <v>21</v>
      </c>
      <c r="D52" s="3" t="e">
        <f>VLOOKUP(C52,#REF!,1,FALSE)</f>
        <v>#REF!</v>
      </c>
    </row>
    <row r="53" spans="2:4" s="1" customFormat="1" x14ac:dyDescent="0.65">
      <c r="B53" s="4" t="s">
        <v>22</v>
      </c>
      <c r="C53" s="4" t="s">
        <v>23</v>
      </c>
      <c r="D53" s="3" t="e">
        <f>VLOOKUP(C53,#REF!,1,FALSE)</f>
        <v>#REF!</v>
      </c>
    </row>
    <row r="54" spans="2:4" s="1" customFormat="1" x14ac:dyDescent="0.65">
      <c r="B54" s="4" t="s">
        <v>24</v>
      </c>
      <c r="C54" s="4" t="s">
        <v>25</v>
      </c>
      <c r="D54" s="3" t="e">
        <f>VLOOKUP(C54,#REF!,1,FALSE)</f>
        <v>#REF!</v>
      </c>
    </row>
    <row r="55" spans="2:4" s="1" customFormat="1" x14ac:dyDescent="0.65">
      <c r="B55" s="4" t="s">
        <v>26</v>
      </c>
      <c r="C55" s="4" t="s">
        <v>27</v>
      </c>
      <c r="D55" s="3" t="e">
        <f>VLOOKUP(C55,#REF!,1,FALSE)</f>
        <v>#REF!</v>
      </c>
    </row>
    <row r="56" spans="2:4" s="1" customFormat="1" x14ac:dyDescent="0.65">
      <c r="B56" s="4" t="s">
        <v>28</v>
      </c>
      <c r="C56" s="4" t="s">
        <v>29</v>
      </c>
      <c r="D56" s="3" t="e">
        <f>VLOOKUP(C56,#REF!,1,FALSE)</f>
        <v>#REF!</v>
      </c>
    </row>
    <row r="57" spans="2:4" s="1" customFormat="1" x14ac:dyDescent="0.65">
      <c r="B57" s="4" t="s">
        <v>30</v>
      </c>
      <c r="C57" s="4" t="s">
        <v>31</v>
      </c>
      <c r="D57" s="3" t="e">
        <f>VLOOKUP(C57,#REF!,1,FALSE)</f>
        <v>#REF!</v>
      </c>
    </row>
    <row r="58" spans="2:4" s="1" customFormat="1" x14ac:dyDescent="0.65">
      <c r="B58" s="4" t="s">
        <v>32</v>
      </c>
      <c r="C58" s="4" t="s">
        <v>33</v>
      </c>
      <c r="D58" s="3" t="e">
        <f>VLOOKUP(C58,#REF!,1,FALSE)</f>
        <v>#REF!</v>
      </c>
    </row>
    <row r="59" spans="2:4" s="1" customFormat="1" x14ac:dyDescent="0.65">
      <c r="B59" s="4" t="s">
        <v>34</v>
      </c>
      <c r="C59" s="4" t="s">
        <v>35</v>
      </c>
      <c r="D59" s="3" t="e">
        <f>VLOOKUP(C59,#REF!,1,FALSE)</f>
        <v>#REF!</v>
      </c>
    </row>
    <row r="60" spans="2:4" s="1" customFormat="1" x14ac:dyDescent="0.65">
      <c r="B60" s="4" t="s">
        <v>36</v>
      </c>
      <c r="C60" s="4" t="s">
        <v>37</v>
      </c>
      <c r="D60" s="3" t="e">
        <f>VLOOKUP(C60,#REF!,1,FALSE)</f>
        <v>#REF!</v>
      </c>
    </row>
    <row r="61" spans="2:4" s="1" customFormat="1" x14ac:dyDescent="0.65">
      <c r="B61" s="4" t="s">
        <v>38</v>
      </c>
      <c r="C61" s="4" t="s">
        <v>39</v>
      </c>
      <c r="D61" s="3" t="e">
        <f>VLOOKUP(C61,#REF!,1,FALSE)</f>
        <v>#REF!</v>
      </c>
    </row>
    <row r="62" spans="2:4" s="1" customFormat="1" x14ac:dyDescent="0.65">
      <c r="B62" s="4" t="s">
        <v>40</v>
      </c>
      <c r="C62" s="4" t="s">
        <v>41</v>
      </c>
      <c r="D62" s="3" t="e">
        <f>VLOOKUP(C62,#REF!,1,FALSE)</f>
        <v>#REF!</v>
      </c>
    </row>
    <row r="63" spans="2:4" s="1" customFormat="1" x14ac:dyDescent="0.65">
      <c r="B63" s="4" t="s">
        <v>42</v>
      </c>
      <c r="C63" s="4" t="s">
        <v>43</v>
      </c>
      <c r="D63" s="3" t="e">
        <f>VLOOKUP(C63,#REF!,1,FALSE)</f>
        <v>#REF!</v>
      </c>
    </row>
    <row r="64" spans="2:4" s="1" customFormat="1" x14ac:dyDescent="0.65">
      <c r="B64" s="4" t="s">
        <v>44</v>
      </c>
      <c r="C64" s="4" t="s">
        <v>45</v>
      </c>
      <c r="D64" s="3" t="e">
        <f>VLOOKUP(C64,#REF!,1,FALSE)</f>
        <v>#REF!</v>
      </c>
    </row>
    <row r="65" spans="2:4" s="1" customFormat="1" x14ac:dyDescent="0.65">
      <c r="B65" s="4" t="s">
        <v>46</v>
      </c>
      <c r="C65" s="4" t="s">
        <v>47</v>
      </c>
      <c r="D65" s="3" t="e">
        <f>VLOOKUP(C65,#REF!,1,FALSE)</f>
        <v>#REF!</v>
      </c>
    </row>
    <row r="66" spans="2:4" s="1" customFormat="1" x14ac:dyDescent="0.65">
      <c r="B66" s="4" t="s">
        <v>48</v>
      </c>
      <c r="C66" s="4" t="s">
        <v>49</v>
      </c>
      <c r="D66" s="3" t="e">
        <f>VLOOKUP(C66,#REF!,1,FALSE)</f>
        <v>#REF!</v>
      </c>
    </row>
    <row r="67" spans="2:4" s="1" customFormat="1" x14ac:dyDescent="0.65">
      <c r="B67" s="4" t="s">
        <v>50</v>
      </c>
      <c r="C67" s="4" t="s">
        <v>51</v>
      </c>
      <c r="D67" s="3" t="e">
        <f>VLOOKUP(C67,#REF!,1,FALSE)</f>
        <v>#REF!</v>
      </c>
    </row>
    <row r="68" spans="2:4" s="1" customFormat="1" x14ac:dyDescent="0.65">
      <c r="B68" s="4" t="s">
        <v>52</v>
      </c>
      <c r="C68" s="4" t="s">
        <v>53</v>
      </c>
      <c r="D68" s="3" t="e">
        <f>VLOOKUP(C68,#REF!,1,FALSE)</f>
        <v>#REF!</v>
      </c>
    </row>
    <row r="69" spans="2:4" s="1" customFormat="1" x14ac:dyDescent="0.65">
      <c r="B69" s="4" t="s">
        <v>54</v>
      </c>
      <c r="C69" s="4" t="s">
        <v>55</v>
      </c>
      <c r="D69" s="3" t="e">
        <f>VLOOKUP(C69,#REF!,1,FALSE)</f>
        <v>#REF!</v>
      </c>
    </row>
    <row r="70" spans="2:4" s="1" customFormat="1" x14ac:dyDescent="0.65">
      <c r="B70" s="4" t="s">
        <v>56</v>
      </c>
      <c r="C70" s="4" t="s">
        <v>57</v>
      </c>
      <c r="D70" s="3" t="e">
        <f>VLOOKUP(C70,#REF!,1,FALSE)</f>
        <v>#REF!</v>
      </c>
    </row>
    <row r="71" spans="2:4" s="1" customFormat="1" x14ac:dyDescent="0.65">
      <c r="B71" s="4" t="s">
        <v>58</v>
      </c>
      <c r="C71" s="4" t="s">
        <v>59</v>
      </c>
      <c r="D71" s="3" t="e">
        <f>VLOOKUP(C71,#REF!,1,FALSE)</f>
        <v>#REF!</v>
      </c>
    </row>
    <row r="72" spans="2:4" s="1" customFormat="1" x14ac:dyDescent="0.65">
      <c r="B72" s="4" t="s">
        <v>60</v>
      </c>
      <c r="C72" s="4" t="s">
        <v>61</v>
      </c>
      <c r="D72" s="3" t="e">
        <f>VLOOKUP(C72,#REF!,1,FALSE)</f>
        <v>#REF!</v>
      </c>
    </row>
    <row r="73" spans="2:4" s="1" customFormat="1" x14ac:dyDescent="0.65">
      <c r="B73" s="4" t="s">
        <v>62</v>
      </c>
      <c r="C73" s="4" t="s">
        <v>63</v>
      </c>
      <c r="D73" s="3" t="e">
        <f>VLOOKUP(C73,#REF!,1,FALSE)</f>
        <v>#REF!</v>
      </c>
    </row>
    <row r="74" spans="2:4" s="1" customFormat="1" x14ac:dyDescent="0.65">
      <c r="B74" s="4" t="s">
        <v>64</v>
      </c>
      <c r="C74" s="4" t="s">
        <v>65</v>
      </c>
      <c r="D74" s="3" t="e">
        <f>VLOOKUP(C74,#REF!,1,FALSE)</f>
        <v>#REF!</v>
      </c>
    </row>
    <row r="75" spans="2:4" s="1" customFormat="1" x14ac:dyDescent="0.65">
      <c r="B75" s="4" t="s">
        <v>66</v>
      </c>
      <c r="C75" s="4" t="s">
        <v>67</v>
      </c>
      <c r="D75" s="3" t="e">
        <f>VLOOKUP(C75,#REF!,1,FALSE)</f>
        <v>#REF!</v>
      </c>
    </row>
    <row r="76" spans="2:4" s="1" customFormat="1" x14ac:dyDescent="0.65">
      <c r="B76" s="4" t="s">
        <v>68</v>
      </c>
      <c r="C76" s="4" t="s">
        <v>69</v>
      </c>
      <c r="D76" s="3" t="e">
        <f>VLOOKUP(C76,#REF!,1,FALSE)</f>
        <v>#REF!</v>
      </c>
    </row>
    <row r="77" spans="2:4" s="1" customFormat="1" x14ac:dyDescent="0.65">
      <c r="B77" s="4" t="s">
        <v>70</v>
      </c>
      <c r="C77" s="4" t="s">
        <v>71</v>
      </c>
      <c r="D77" s="3" t="e">
        <f>VLOOKUP(C77,#REF!,1,FALSE)</f>
        <v>#REF!</v>
      </c>
    </row>
    <row r="78" spans="2:4" s="1" customFormat="1" x14ac:dyDescent="0.65">
      <c r="B78" s="4" t="s">
        <v>72</v>
      </c>
      <c r="C78" s="4" t="s">
        <v>73</v>
      </c>
      <c r="D78" s="3" t="e">
        <f>VLOOKUP(C78,#REF!,1,FALSE)</f>
        <v>#REF!</v>
      </c>
    </row>
    <row r="79" spans="2:4" s="1" customFormat="1" x14ac:dyDescent="0.65">
      <c r="B79" s="4" t="s">
        <v>74</v>
      </c>
      <c r="C79" s="4" t="s">
        <v>75</v>
      </c>
      <c r="D79" s="3" t="e">
        <f>VLOOKUP(C79,#REF!,1,FALSE)</f>
        <v>#REF!</v>
      </c>
    </row>
    <row r="80" spans="2:4" s="1" customFormat="1" x14ac:dyDescent="0.65">
      <c r="B80" s="4" t="s">
        <v>76</v>
      </c>
      <c r="C80" s="4" t="s">
        <v>77</v>
      </c>
      <c r="D80" s="3" t="e">
        <f>VLOOKUP(C80,#REF!,1,FALSE)</f>
        <v>#REF!</v>
      </c>
    </row>
    <row r="81" spans="2:4" s="1" customFormat="1" x14ac:dyDescent="0.65">
      <c r="B81" s="4" t="s">
        <v>78</v>
      </c>
      <c r="C81" s="4" t="s">
        <v>79</v>
      </c>
      <c r="D81" s="3" t="e">
        <f>VLOOKUP(C81,#REF!,1,FALSE)</f>
        <v>#REF!</v>
      </c>
    </row>
    <row r="82" spans="2:4" s="1" customFormat="1" x14ac:dyDescent="0.65">
      <c r="B82" s="4" t="s">
        <v>80</v>
      </c>
      <c r="C82" s="4" t="s">
        <v>81</v>
      </c>
      <c r="D82" s="3" t="e">
        <f>VLOOKUP(C82,#REF!,1,FALSE)</f>
        <v>#REF!</v>
      </c>
    </row>
    <row r="83" spans="2:4" s="1" customFormat="1" x14ac:dyDescent="0.65">
      <c r="B83" s="4" t="s">
        <v>82</v>
      </c>
      <c r="C83" s="4" t="s">
        <v>83</v>
      </c>
      <c r="D83" s="3" t="e">
        <f>VLOOKUP(C83,#REF!,1,FALSE)</f>
        <v>#REF!</v>
      </c>
    </row>
    <row r="84" spans="2:4" s="1" customFormat="1" x14ac:dyDescent="0.65">
      <c r="B84" s="4" t="s">
        <v>84</v>
      </c>
      <c r="C84" s="4" t="s">
        <v>85</v>
      </c>
      <c r="D84" s="3" t="e">
        <f>VLOOKUP(C84,#REF!,1,FALSE)</f>
        <v>#REF!</v>
      </c>
    </row>
    <row r="85" spans="2:4" s="1" customFormat="1" x14ac:dyDescent="0.65">
      <c r="B85" s="4" t="s">
        <v>86</v>
      </c>
      <c r="C85" s="4" t="s">
        <v>87</v>
      </c>
      <c r="D85" s="3" t="e">
        <f>VLOOKUP(C85,#REF!,1,FALSE)</f>
        <v>#REF!</v>
      </c>
    </row>
    <row r="86" spans="2:4" s="1" customFormat="1" x14ac:dyDescent="0.65">
      <c r="B86" s="4" t="s">
        <v>88</v>
      </c>
      <c r="C86" s="4" t="s">
        <v>89</v>
      </c>
      <c r="D86" s="3" t="e">
        <f>VLOOKUP(C86,#REF!,1,FALSE)</f>
        <v>#REF!</v>
      </c>
    </row>
    <row r="87" spans="2:4" s="1" customFormat="1" x14ac:dyDescent="0.65">
      <c r="B87" s="4" t="s">
        <v>90</v>
      </c>
      <c r="C87" s="4" t="s">
        <v>91</v>
      </c>
      <c r="D87" s="3" t="e">
        <f>VLOOKUP(C87,#REF!,1,FALSE)</f>
        <v>#REF!</v>
      </c>
    </row>
    <row r="88" spans="2:4" s="1" customFormat="1" x14ac:dyDescent="0.65">
      <c r="B88" s="4" t="s">
        <v>92</v>
      </c>
      <c r="C88" s="4" t="s">
        <v>93</v>
      </c>
      <c r="D88" s="3" t="e">
        <f>VLOOKUP(C88,#REF!,1,FALSE)</f>
        <v>#REF!</v>
      </c>
    </row>
    <row r="89" spans="2:4" s="1" customFormat="1" x14ac:dyDescent="0.65">
      <c r="B89" s="4" t="s">
        <v>94</v>
      </c>
      <c r="C89" s="4" t="s">
        <v>95</v>
      </c>
      <c r="D89" s="3" t="e">
        <f>VLOOKUP(C89,#REF!,1,FALSE)</f>
        <v>#REF!</v>
      </c>
    </row>
    <row r="90" spans="2:4" s="1" customFormat="1" x14ac:dyDescent="0.65">
      <c r="B90" s="4" t="s">
        <v>96</v>
      </c>
      <c r="C90" s="4" t="s">
        <v>97</v>
      </c>
      <c r="D90" s="3" t="e">
        <f>VLOOKUP(C90,#REF!,1,FALSE)</f>
        <v>#REF!</v>
      </c>
    </row>
    <row r="91" spans="2:4" s="1" customFormat="1" x14ac:dyDescent="0.65">
      <c r="B91" s="4" t="s">
        <v>98</v>
      </c>
      <c r="C91" s="4" t="s">
        <v>99</v>
      </c>
      <c r="D91" s="3" t="e">
        <f>VLOOKUP(C91,#REF!,1,FALSE)</f>
        <v>#REF!</v>
      </c>
    </row>
    <row r="92" spans="2:4" s="1" customFormat="1" x14ac:dyDescent="0.65">
      <c r="B92" s="4" t="s">
        <v>100</v>
      </c>
      <c r="C92" s="4" t="s">
        <v>101</v>
      </c>
      <c r="D92" s="3" t="e">
        <f>VLOOKUP(C92,#REF!,1,FALSE)</f>
        <v>#REF!</v>
      </c>
    </row>
    <row r="93" spans="2:4" s="1" customFormat="1" x14ac:dyDescent="0.65">
      <c r="B93" s="4" t="s">
        <v>102</v>
      </c>
      <c r="C93" s="4" t="s">
        <v>103</v>
      </c>
      <c r="D93" s="3" t="e">
        <f>VLOOKUP(C93,#REF!,1,FALSE)</f>
        <v>#REF!</v>
      </c>
    </row>
    <row r="94" spans="2:4" s="1" customFormat="1" x14ac:dyDescent="0.65">
      <c r="B94" s="4" t="s">
        <v>104</v>
      </c>
      <c r="C94" s="4" t="s">
        <v>105</v>
      </c>
      <c r="D94" s="3" t="e">
        <f>VLOOKUP(C94,#REF!,1,FALSE)</f>
        <v>#REF!</v>
      </c>
    </row>
    <row r="95" spans="2:4" s="1" customFormat="1" x14ac:dyDescent="0.65">
      <c r="B95" s="4" t="s">
        <v>106</v>
      </c>
      <c r="C95" s="4" t="s">
        <v>107</v>
      </c>
      <c r="D95" s="3" t="e">
        <f>VLOOKUP(C95,#REF!,1,FALSE)</f>
        <v>#REF!</v>
      </c>
    </row>
    <row r="96" spans="2:4" s="1" customFormat="1" x14ac:dyDescent="0.65">
      <c r="B96" s="4" t="s">
        <v>108</v>
      </c>
      <c r="C96" s="4" t="s">
        <v>109</v>
      </c>
      <c r="D96" s="3" t="e">
        <f>VLOOKUP(C96,#REF!,1,FALSE)</f>
        <v>#REF!</v>
      </c>
    </row>
    <row r="97" spans="2:4" s="1" customFormat="1" x14ac:dyDescent="0.65">
      <c r="B97" s="4" t="s">
        <v>110</v>
      </c>
      <c r="C97" s="4" t="s">
        <v>111</v>
      </c>
      <c r="D97" s="3" t="e">
        <f>VLOOKUP(C97,#REF!,1,FALSE)</f>
        <v>#REF!</v>
      </c>
    </row>
    <row r="98" spans="2:4" s="1" customFormat="1" x14ac:dyDescent="0.65">
      <c r="B98" s="4" t="s">
        <v>112</v>
      </c>
      <c r="C98" s="4" t="s">
        <v>113</v>
      </c>
      <c r="D98" s="3" t="e">
        <f>VLOOKUP(C98,#REF!,1,FALSE)</f>
        <v>#REF!</v>
      </c>
    </row>
    <row r="99" spans="2:4" s="1" customFormat="1" x14ac:dyDescent="0.65">
      <c r="B99" s="4" t="s">
        <v>114</v>
      </c>
      <c r="C99" s="4" t="s">
        <v>115</v>
      </c>
      <c r="D99" s="3" t="e">
        <f>VLOOKUP(C99,#REF!,1,FALSE)</f>
        <v>#REF!</v>
      </c>
    </row>
    <row r="100" spans="2:4" s="1" customFormat="1" x14ac:dyDescent="0.65">
      <c r="B100" s="4" t="s">
        <v>116</v>
      </c>
      <c r="C100" s="4" t="s">
        <v>117</v>
      </c>
      <c r="D100" s="3" t="e">
        <f>VLOOKUP(C100,#REF!,1,FALSE)</f>
        <v>#REF!</v>
      </c>
    </row>
    <row r="101" spans="2:4" s="1" customFormat="1" x14ac:dyDescent="0.65">
      <c r="B101" s="4" t="s">
        <v>118</v>
      </c>
      <c r="C101" s="4" t="s">
        <v>119</v>
      </c>
      <c r="D101" s="3" t="e">
        <f>VLOOKUP(C101,#REF!,1,FALSE)</f>
        <v>#REF!</v>
      </c>
    </row>
    <row r="102" spans="2:4" s="1" customFormat="1" x14ac:dyDescent="0.65">
      <c r="B102" s="4" t="s">
        <v>120</v>
      </c>
      <c r="C102" s="4" t="s">
        <v>121</v>
      </c>
      <c r="D102" s="3" t="e">
        <f>VLOOKUP(C102,#REF!,1,FALSE)</f>
        <v>#REF!</v>
      </c>
    </row>
    <row r="103" spans="2:4" s="1" customFormat="1" x14ac:dyDescent="0.65">
      <c r="B103" s="4" t="s">
        <v>122</v>
      </c>
      <c r="C103" s="4" t="s">
        <v>123</v>
      </c>
      <c r="D103" s="3" t="e">
        <f>VLOOKUP(C103,#REF!,1,FALSE)</f>
        <v>#REF!</v>
      </c>
    </row>
    <row r="104" spans="2:4" s="1" customFormat="1" x14ac:dyDescent="0.65">
      <c r="B104" s="4" t="s">
        <v>124</v>
      </c>
      <c r="C104" s="4" t="s">
        <v>125</v>
      </c>
      <c r="D104" s="3" t="e">
        <f>VLOOKUP(C104,#REF!,1,FALSE)</f>
        <v>#REF!</v>
      </c>
    </row>
    <row r="105" spans="2:4" s="1" customFormat="1" x14ac:dyDescent="0.65">
      <c r="B105" s="4" t="s">
        <v>126</v>
      </c>
      <c r="C105" s="4" t="s">
        <v>127</v>
      </c>
      <c r="D105" s="3" t="e">
        <f>VLOOKUP(C105,#REF!,1,FALSE)</f>
        <v>#REF!</v>
      </c>
    </row>
    <row r="106" spans="2:4" s="1" customFormat="1" x14ac:dyDescent="0.65">
      <c r="B106" s="4" t="s">
        <v>128</v>
      </c>
      <c r="C106" s="4" t="s">
        <v>129</v>
      </c>
      <c r="D106" s="3" t="e">
        <f>VLOOKUP(C106,#REF!,1,FALSE)</f>
        <v>#REF!</v>
      </c>
    </row>
    <row r="107" spans="2:4" s="1" customFormat="1" x14ac:dyDescent="0.65">
      <c r="B107" s="4" t="s">
        <v>130</v>
      </c>
      <c r="C107" s="4" t="s">
        <v>131</v>
      </c>
      <c r="D107" s="3" t="e">
        <f>VLOOKUP(C107,#REF!,1,FALSE)</f>
        <v>#REF!</v>
      </c>
    </row>
    <row r="108" spans="2:4" s="1" customFormat="1" x14ac:dyDescent="0.65">
      <c r="B108" s="4" t="s">
        <v>132</v>
      </c>
      <c r="C108" s="4" t="s">
        <v>133</v>
      </c>
      <c r="D108" s="3" t="e">
        <f>VLOOKUP(C108,#REF!,1,FALSE)</f>
        <v>#REF!</v>
      </c>
    </row>
    <row r="109" spans="2:4" s="1" customFormat="1" x14ac:dyDescent="0.65">
      <c r="B109" s="4" t="s">
        <v>134</v>
      </c>
      <c r="C109" s="4" t="s">
        <v>135</v>
      </c>
      <c r="D109" s="3" t="e">
        <f>VLOOKUP(C109,#REF!,1,FALSE)</f>
        <v>#REF!</v>
      </c>
    </row>
    <row r="110" spans="2:4" s="1" customFormat="1" x14ac:dyDescent="0.65">
      <c r="B110" s="4" t="s">
        <v>136</v>
      </c>
      <c r="C110" s="4" t="s">
        <v>137</v>
      </c>
      <c r="D110" s="3" t="e">
        <f>VLOOKUP(C110,#REF!,1,FALSE)</f>
        <v>#REF!</v>
      </c>
    </row>
    <row r="111" spans="2:4" s="1" customFormat="1" x14ac:dyDescent="0.65">
      <c r="B111" s="4" t="s">
        <v>138</v>
      </c>
      <c r="C111" s="4" t="s">
        <v>139</v>
      </c>
      <c r="D111" s="3" t="e">
        <f>VLOOKUP(C111,#REF!,1,FALSE)</f>
        <v>#REF!</v>
      </c>
    </row>
    <row r="112" spans="2:4" s="1" customFormat="1" x14ac:dyDescent="0.65">
      <c r="B112" s="4" t="s">
        <v>140</v>
      </c>
      <c r="C112" s="4" t="s">
        <v>141</v>
      </c>
      <c r="D112" s="3" t="e">
        <f>VLOOKUP(C112,#REF!,1,FALSE)</f>
        <v>#REF!</v>
      </c>
    </row>
    <row r="113" spans="2:4" s="1" customFormat="1" x14ac:dyDescent="0.65">
      <c r="B113" s="4" t="s">
        <v>142</v>
      </c>
      <c r="C113" s="4" t="s">
        <v>143</v>
      </c>
      <c r="D113" s="3" t="e">
        <f>VLOOKUP(C113,#REF!,1,FALSE)</f>
        <v>#REF!</v>
      </c>
    </row>
    <row r="114" spans="2:4" s="1" customFormat="1" x14ac:dyDescent="0.65">
      <c r="B114" s="4" t="s">
        <v>144</v>
      </c>
      <c r="C114" s="4" t="s">
        <v>145</v>
      </c>
      <c r="D114" s="3" t="e">
        <f>VLOOKUP(C114,#REF!,1,FALSE)</f>
        <v>#REF!</v>
      </c>
    </row>
    <row r="115" spans="2:4" s="1" customFormat="1" x14ac:dyDescent="0.65">
      <c r="B115" s="4" t="s">
        <v>146</v>
      </c>
      <c r="C115" s="4" t="s">
        <v>147</v>
      </c>
      <c r="D115" s="3" t="e">
        <f>VLOOKUP(C115,#REF!,1,FALSE)</f>
        <v>#REF!</v>
      </c>
    </row>
    <row r="116" spans="2:4" s="1" customFormat="1" x14ac:dyDescent="0.65">
      <c r="B116" s="4" t="s">
        <v>148</v>
      </c>
      <c r="C116" s="4" t="s">
        <v>149</v>
      </c>
      <c r="D116" s="3" t="e">
        <f>VLOOKUP(C116,#REF!,1,FALSE)</f>
        <v>#REF!</v>
      </c>
    </row>
    <row r="117" spans="2:4" s="1" customFormat="1" x14ac:dyDescent="0.65">
      <c r="B117" s="4" t="s">
        <v>150</v>
      </c>
      <c r="C117" s="4" t="s">
        <v>151</v>
      </c>
      <c r="D117" s="3" t="e">
        <f>VLOOKUP(C117,#REF!,1,FALSE)</f>
        <v>#REF!</v>
      </c>
    </row>
    <row r="118" spans="2:4" s="1" customFormat="1" x14ac:dyDescent="0.65">
      <c r="B118" s="4" t="s">
        <v>152</v>
      </c>
      <c r="C118" s="4" t="s">
        <v>153</v>
      </c>
      <c r="D118" s="3" t="e">
        <f>VLOOKUP(C118,#REF!,1,FALSE)</f>
        <v>#REF!</v>
      </c>
    </row>
    <row r="119" spans="2:4" s="1" customFormat="1" x14ac:dyDescent="0.65">
      <c r="B119" s="4" t="s">
        <v>154</v>
      </c>
      <c r="C119" s="4" t="s">
        <v>155</v>
      </c>
      <c r="D119" s="3" t="e">
        <f>VLOOKUP(C119,#REF!,1,FALSE)</f>
        <v>#REF!</v>
      </c>
    </row>
    <row r="120" spans="2:4" s="1" customFormat="1" x14ac:dyDescent="0.65">
      <c r="B120" s="4" t="s">
        <v>156</v>
      </c>
      <c r="C120" s="4" t="s">
        <v>157</v>
      </c>
      <c r="D120" s="3" t="e">
        <f>VLOOKUP(C120,#REF!,1,FALSE)</f>
        <v>#REF!</v>
      </c>
    </row>
    <row r="121" spans="2:4" s="1" customFormat="1" x14ac:dyDescent="0.65">
      <c r="B121" s="4" t="s">
        <v>158</v>
      </c>
      <c r="C121" s="4" t="s">
        <v>159</v>
      </c>
      <c r="D121" s="3" t="e">
        <f>VLOOKUP(C121,#REF!,1,FALSE)</f>
        <v>#REF!</v>
      </c>
    </row>
    <row r="122" spans="2:4" s="1" customFormat="1" x14ac:dyDescent="0.65">
      <c r="B122" s="4" t="s">
        <v>160</v>
      </c>
      <c r="C122" s="4" t="s">
        <v>161</v>
      </c>
      <c r="D122" s="3" t="e">
        <f>VLOOKUP(C122,#REF!,1,FALSE)</f>
        <v>#REF!</v>
      </c>
    </row>
    <row r="123" spans="2:4" s="1" customFormat="1" x14ac:dyDescent="0.65">
      <c r="B123" s="4" t="s">
        <v>162</v>
      </c>
      <c r="C123" s="4" t="s">
        <v>163</v>
      </c>
      <c r="D123" s="3" t="e">
        <f>VLOOKUP(C123,#REF!,1,FALSE)</f>
        <v>#REF!</v>
      </c>
    </row>
    <row r="124" spans="2:4" s="1" customFormat="1" x14ac:dyDescent="0.65">
      <c r="B124" s="4" t="s">
        <v>164</v>
      </c>
      <c r="C124" s="4" t="s">
        <v>165</v>
      </c>
      <c r="D124" s="3" t="e">
        <f>VLOOKUP(C124,#REF!,1,FALSE)</f>
        <v>#REF!</v>
      </c>
    </row>
    <row r="125" spans="2:4" s="1" customFormat="1" x14ac:dyDescent="0.65">
      <c r="B125" s="4" t="s">
        <v>166</v>
      </c>
      <c r="C125" s="4" t="s">
        <v>167</v>
      </c>
      <c r="D125" s="3" t="e">
        <f>VLOOKUP(C125,#REF!,1,FALSE)</f>
        <v>#REF!</v>
      </c>
    </row>
    <row r="126" spans="2:4" s="1" customFormat="1" x14ac:dyDescent="0.65">
      <c r="B126" s="4" t="s">
        <v>168</v>
      </c>
      <c r="C126" s="4" t="s">
        <v>169</v>
      </c>
      <c r="D126" s="3" t="e">
        <f>VLOOKUP(C126,#REF!,1,FALSE)</f>
        <v>#REF!</v>
      </c>
    </row>
    <row r="127" spans="2:4" s="1" customFormat="1" x14ac:dyDescent="0.65">
      <c r="B127" s="4" t="s">
        <v>170</v>
      </c>
      <c r="C127" s="4" t="s">
        <v>171</v>
      </c>
      <c r="D127" s="3" t="e">
        <f>VLOOKUP(C127,#REF!,1,FALSE)</f>
        <v>#REF!</v>
      </c>
    </row>
    <row r="128" spans="2:4" s="1" customFormat="1" x14ac:dyDescent="0.65">
      <c r="B128" s="4" t="s">
        <v>172</v>
      </c>
      <c r="C128" s="4" t="s">
        <v>173</v>
      </c>
      <c r="D128" s="3" t="e">
        <f>VLOOKUP(C128,#REF!,1,FALSE)</f>
        <v>#REF!</v>
      </c>
    </row>
    <row r="129" spans="2:4" s="1" customFormat="1" x14ac:dyDescent="0.65">
      <c r="B129" s="4" t="s">
        <v>174</v>
      </c>
      <c r="C129" s="4" t="s">
        <v>175</v>
      </c>
      <c r="D129" s="3" t="e">
        <f>VLOOKUP(C129,#REF!,1,FALSE)</f>
        <v>#REF!</v>
      </c>
    </row>
    <row r="130" spans="2:4" s="1" customFormat="1" x14ac:dyDescent="0.65">
      <c r="B130" s="4" t="s">
        <v>176</v>
      </c>
      <c r="C130" s="4" t="s">
        <v>177</v>
      </c>
      <c r="D130" s="3" t="e">
        <f>VLOOKUP(C130,#REF!,1,FALSE)</f>
        <v>#REF!</v>
      </c>
    </row>
    <row r="131" spans="2:4" s="1" customFormat="1" x14ac:dyDescent="0.65">
      <c r="B131" s="4" t="s">
        <v>178</v>
      </c>
      <c r="C131" s="4" t="s">
        <v>179</v>
      </c>
      <c r="D131" s="3" t="e">
        <f>VLOOKUP(C131,#REF!,1,FALSE)</f>
        <v>#REF!</v>
      </c>
    </row>
    <row r="132" spans="2:4" s="1" customFormat="1" x14ac:dyDescent="0.65">
      <c r="B132" s="4" t="s">
        <v>180</v>
      </c>
      <c r="C132" s="4" t="s">
        <v>181</v>
      </c>
      <c r="D132" s="3" t="e">
        <f>VLOOKUP(C132,#REF!,1,FALSE)</f>
        <v>#REF!</v>
      </c>
    </row>
    <row r="133" spans="2:4" s="1" customFormat="1" x14ac:dyDescent="0.65">
      <c r="B133" s="4" t="s">
        <v>182</v>
      </c>
      <c r="C133" s="4" t="s">
        <v>183</v>
      </c>
      <c r="D133" s="3" t="e">
        <f>VLOOKUP(C133,#REF!,1,FALSE)</f>
        <v>#REF!</v>
      </c>
    </row>
    <row r="134" spans="2:4" s="1" customFormat="1" x14ac:dyDescent="0.65">
      <c r="B134" s="4" t="s">
        <v>184</v>
      </c>
      <c r="C134" s="4" t="s">
        <v>185</v>
      </c>
      <c r="D134" s="3" t="e">
        <f>VLOOKUP(C134,#REF!,1,FALSE)</f>
        <v>#REF!</v>
      </c>
    </row>
    <row r="135" spans="2:4" s="1" customFormat="1" x14ac:dyDescent="0.65">
      <c r="B135" s="4" t="s">
        <v>186</v>
      </c>
      <c r="C135" s="4" t="s">
        <v>187</v>
      </c>
      <c r="D135" s="3" t="e">
        <f>VLOOKUP(C135,#REF!,1,FALSE)</f>
        <v>#REF!</v>
      </c>
    </row>
    <row r="136" spans="2:4" s="1" customFormat="1" x14ac:dyDescent="0.65">
      <c r="B136" s="4" t="s">
        <v>188</v>
      </c>
      <c r="C136" s="4" t="s">
        <v>189</v>
      </c>
      <c r="D136" s="3" t="e">
        <f>VLOOKUP(C136,#REF!,1,FALSE)</f>
        <v>#REF!</v>
      </c>
    </row>
    <row r="137" spans="2:4" s="1" customFormat="1" x14ac:dyDescent="0.65">
      <c r="B137" s="4" t="s">
        <v>190</v>
      </c>
      <c r="C137" s="4" t="s">
        <v>191</v>
      </c>
      <c r="D137" s="3" t="e">
        <f>VLOOKUP(C137,#REF!,1,FALSE)</f>
        <v>#REF!</v>
      </c>
    </row>
    <row r="138" spans="2:4" s="1" customFormat="1" x14ac:dyDescent="0.65">
      <c r="B138" s="4" t="s">
        <v>192</v>
      </c>
      <c r="C138" s="4" t="s">
        <v>193</v>
      </c>
      <c r="D138" s="3" t="e">
        <f>VLOOKUP(C138,#REF!,1,FALSE)</f>
        <v>#REF!</v>
      </c>
    </row>
    <row r="139" spans="2:4" s="1" customFormat="1" x14ac:dyDescent="0.65">
      <c r="B139" s="4" t="s">
        <v>194</v>
      </c>
      <c r="C139" s="4" t="s">
        <v>195</v>
      </c>
      <c r="D139" s="3" t="e">
        <f>VLOOKUP(C139,#REF!,1,FALSE)</f>
        <v>#REF!</v>
      </c>
    </row>
    <row r="140" spans="2:4" s="1" customFormat="1" x14ac:dyDescent="0.65">
      <c r="B140" s="4" t="s">
        <v>196</v>
      </c>
      <c r="C140" s="4" t="s">
        <v>197</v>
      </c>
      <c r="D140" s="3" t="e">
        <f>VLOOKUP(C140,#REF!,1,FALSE)</f>
        <v>#REF!</v>
      </c>
    </row>
    <row r="141" spans="2:4" s="1" customFormat="1" x14ac:dyDescent="0.65">
      <c r="B141" s="4" t="s">
        <v>198</v>
      </c>
      <c r="C141" s="4" t="s">
        <v>199</v>
      </c>
      <c r="D141" s="3" t="e">
        <f>VLOOKUP(C141,#REF!,1,FALSE)</f>
        <v>#REF!</v>
      </c>
    </row>
    <row r="142" spans="2:4" s="1" customFormat="1" x14ac:dyDescent="0.65">
      <c r="B142" s="4" t="s">
        <v>200</v>
      </c>
      <c r="C142" s="4" t="s">
        <v>201</v>
      </c>
      <c r="D142" s="3" t="e">
        <f>VLOOKUP(C142,#REF!,1,FALSE)</f>
        <v>#REF!</v>
      </c>
    </row>
    <row r="143" spans="2:4" s="1" customFormat="1" x14ac:dyDescent="0.65">
      <c r="B143" s="4" t="s">
        <v>202</v>
      </c>
      <c r="C143" s="4" t="s">
        <v>203</v>
      </c>
      <c r="D143" s="3" t="e">
        <f>VLOOKUP(C143,#REF!,1,FALSE)</f>
        <v>#REF!</v>
      </c>
    </row>
    <row r="144" spans="2:4" s="1" customFormat="1" x14ac:dyDescent="0.65">
      <c r="B144" s="4" t="s">
        <v>204</v>
      </c>
      <c r="C144" s="4" t="s">
        <v>205</v>
      </c>
      <c r="D144" s="3" t="e">
        <f>VLOOKUP(C144,#REF!,1,FALSE)</f>
        <v>#REF!</v>
      </c>
    </row>
    <row r="145" spans="2:4" s="1" customFormat="1" x14ac:dyDescent="0.65">
      <c r="B145" s="4" t="s">
        <v>206</v>
      </c>
      <c r="C145" s="4" t="s">
        <v>207</v>
      </c>
      <c r="D145" s="3" t="e">
        <f>VLOOKUP(C145,#REF!,1,FALSE)</f>
        <v>#REF!</v>
      </c>
    </row>
    <row r="146" spans="2:4" s="1" customFormat="1" x14ac:dyDescent="0.65">
      <c r="B146" s="4" t="s">
        <v>208</v>
      </c>
      <c r="C146" s="4" t="s">
        <v>209</v>
      </c>
      <c r="D146" s="3" t="e">
        <f>VLOOKUP(C146,#REF!,1,FALSE)</f>
        <v>#REF!</v>
      </c>
    </row>
    <row r="147" spans="2:4" s="1" customFormat="1" x14ac:dyDescent="0.65">
      <c r="B147" s="4" t="s">
        <v>210</v>
      </c>
      <c r="C147" s="4" t="s">
        <v>211</v>
      </c>
      <c r="D147" s="3" t="e">
        <f>VLOOKUP(C147,#REF!,1,FALSE)</f>
        <v>#REF!</v>
      </c>
    </row>
    <row r="148" spans="2:4" s="1" customFormat="1" x14ac:dyDescent="0.65">
      <c r="B148" s="4" t="s">
        <v>212</v>
      </c>
      <c r="C148" s="4" t="s">
        <v>213</v>
      </c>
      <c r="D148" s="3" t="e">
        <f>VLOOKUP(C148,#REF!,1,FALSE)</f>
        <v>#REF!</v>
      </c>
    </row>
    <row r="149" spans="2:4" s="1" customFormat="1" x14ac:dyDescent="0.65">
      <c r="B149" s="4" t="s">
        <v>214</v>
      </c>
      <c r="C149" s="4" t="s">
        <v>215</v>
      </c>
      <c r="D149" s="3" t="e">
        <f>VLOOKUP(C149,#REF!,1,FALSE)</f>
        <v>#REF!</v>
      </c>
    </row>
    <row r="150" spans="2:4" s="1" customFormat="1" x14ac:dyDescent="0.65">
      <c r="B150" s="4" t="s">
        <v>216</v>
      </c>
      <c r="C150" s="4" t="s">
        <v>217</v>
      </c>
      <c r="D150" s="3" t="e">
        <f>VLOOKUP(C150,#REF!,1,FALSE)</f>
        <v>#REF!</v>
      </c>
    </row>
    <row r="151" spans="2:4" s="1" customFormat="1" x14ac:dyDescent="0.65">
      <c r="B151" s="4" t="s">
        <v>218</v>
      </c>
      <c r="C151" s="4" t="s">
        <v>219</v>
      </c>
      <c r="D151" s="3" t="e">
        <f>VLOOKUP(C151,#REF!,1,FALSE)</f>
        <v>#REF!</v>
      </c>
    </row>
    <row r="152" spans="2:4" s="1" customFormat="1" x14ac:dyDescent="0.65">
      <c r="B152" s="4" t="s">
        <v>220</v>
      </c>
      <c r="C152" s="4" t="s">
        <v>221</v>
      </c>
      <c r="D152" s="3" t="e">
        <f>VLOOKUP(C152,#REF!,1,FALSE)</f>
        <v>#REF!</v>
      </c>
    </row>
    <row r="153" spans="2:4" s="1" customFormat="1" x14ac:dyDescent="0.65">
      <c r="B153" s="4" t="s">
        <v>222</v>
      </c>
      <c r="C153" s="4" t="s">
        <v>223</v>
      </c>
      <c r="D153" s="3" t="e">
        <f>VLOOKUP(C153,#REF!,1,FALSE)</f>
        <v>#REF!</v>
      </c>
    </row>
    <row r="154" spans="2:4" s="1" customFormat="1" x14ac:dyDescent="0.65">
      <c r="B154" s="4" t="s">
        <v>224</v>
      </c>
      <c r="C154" s="4" t="s">
        <v>225</v>
      </c>
      <c r="D154" s="3" t="e">
        <f>VLOOKUP(C154,#REF!,1,FALSE)</f>
        <v>#REF!</v>
      </c>
    </row>
    <row r="155" spans="2:4" s="1" customFormat="1" x14ac:dyDescent="0.65">
      <c r="B155" s="4" t="s">
        <v>226</v>
      </c>
      <c r="C155" s="4" t="s">
        <v>227</v>
      </c>
      <c r="D155" s="3" t="e">
        <f>VLOOKUP(C155,#REF!,1,FALSE)</f>
        <v>#REF!</v>
      </c>
    </row>
    <row r="156" spans="2:4" s="1" customFormat="1" x14ac:dyDescent="0.65">
      <c r="B156" s="4" t="s">
        <v>228</v>
      </c>
      <c r="C156" s="4" t="s">
        <v>229</v>
      </c>
      <c r="D156" s="3" t="e">
        <f>VLOOKUP(C156,#REF!,1,FALSE)</f>
        <v>#REF!</v>
      </c>
    </row>
    <row r="157" spans="2:4" s="1" customFormat="1" x14ac:dyDescent="0.65">
      <c r="B157" s="4" t="s">
        <v>230</v>
      </c>
      <c r="C157" s="4" t="s">
        <v>231</v>
      </c>
      <c r="D157" s="3" t="e">
        <f>VLOOKUP(C157,#REF!,1,FALSE)</f>
        <v>#REF!</v>
      </c>
    </row>
    <row r="158" spans="2:4" s="1" customFormat="1" x14ac:dyDescent="0.65">
      <c r="B158" s="4" t="s">
        <v>232</v>
      </c>
      <c r="C158" s="4" t="s">
        <v>233</v>
      </c>
      <c r="D158" s="3" t="e">
        <f>VLOOKUP(C158,#REF!,1,FALSE)</f>
        <v>#REF!</v>
      </c>
    </row>
    <row r="159" spans="2:4" s="1" customFormat="1" x14ac:dyDescent="0.65">
      <c r="B159" s="4" t="s">
        <v>234</v>
      </c>
      <c r="C159" s="4" t="s">
        <v>235</v>
      </c>
      <c r="D159" s="3" t="e">
        <f>VLOOKUP(C159,#REF!,1,FALSE)</f>
        <v>#REF!</v>
      </c>
    </row>
    <row r="160" spans="2:4" s="1" customFormat="1" x14ac:dyDescent="0.65">
      <c r="B160" s="4" t="s">
        <v>236</v>
      </c>
      <c r="C160" s="4" t="s">
        <v>237</v>
      </c>
      <c r="D160" s="3" t="e">
        <f>VLOOKUP(C160,#REF!,1,FALSE)</f>
        <v>#REF!</v>
      </c>
    </row>
    <row r="161" spans="2:4" s="1" customFormat="1" x14ac:dyDescent="0.65">
      <c r="B161" s="4" t="s">
        <v>238</v>
      </c>
      <c r="C161" s="4" t="s">
        <v>239</v>
      </c>
      <c r="D161" s="3" t="e">
        <f>VLOOKUP(C161,#REF!,1,FALSE)</f>
        <v>#REF!</v>
      </c>
    </row>
    <row r="162" spans="2:4" s="1" customFormat="1" x14ac:dyDescent="0.65">
      <c r="B162" s="4" t="s">
        <v>240</v>
      </c>
      <c r="C162" s="4" t="s">
        <v>241</v>
      </c>
      <c r="D162" s="3" t="e">
        <f>VLOOKUP(C162,#REF!,1,FALSE)</f>
        <v>#REF!</v>
      </c>
    </row>
    <row r="163" spans="2:4" s="1" customFormat="1" x14ac:dyDescent="0.65">
      <c r="B163" s="4" t="s">
        <v>242</v>
      </c>
      <c r="C163" s="4" t="s">
        <v>243</v>
      </c>
      <c r="D163" s="3" t="e">
        <f>VLOOKUP(C163,#REF!,1,FALSE)</f>
        <v>#REF!</v>
      </c>
    </row>
    <row r="164" spans="2:4" s="1" customFormat="1" x14ac:dyDescent="0.65">
      <c r="B164" s="4" t="s">
        <v>244</v>
      </c>
      <c r="C164" s="4" t="s">
        <v>245</v>
      </c>
      <c r="D164" s="3" t="e">
        <f>VLOOKUP(C164,#REF!,1,FALSE)</f>
        <v>#REF!</v>
      </c>
    </row>
    <row r="165" spans="2:4" s="1" customFormat="1" x14ac:dyDescent="0.65">
      <c r="B165" s="4" t="s">
        <v>246</v>
      </c>
      <c r="C165" s="4" t="s">
        <v>247</v>
      </c>
      <c r="D165" s="3" t="e">
        <f>VLOOKUP(C165,#REF!,1,FALSE)</f>
        <v>#REF!</v>
      </c>
    </row>
    <row r="166" spans="2:4" s="1" customFormat="1" x14ac:dyDescent="0.65">
      <c r="B166" s="4" t="s">
        <v>248</v>
      </c>
      <c r="C166" s="4" t="s">
        <v>249</v>
      </c>
      <c r="D166" s="3" t="e">
        <f>VLOOKUP(C166,#REF!,1,FALSE)</f>
        <v>#REF!</v>
      </c>
    </row>
    <row r="167" spans="2:4" s="1" customFormat="1" x14ac:dyDescent="0.65">
      <c r="B167" s="4" t="s">
        <v>250</v>
      </c>
      <c r="C167" s="4" t="s">
        <v>251</v>
      </c>
      <c r="D167" s="3" t="e">
        <f>VLOOKUP(C167,#REF!,1,FALSE)</f>
        <v>#REF!</v>
      </c>
    </row>
    <row r="168" spans="2:4" s="1" customFormat="1" x14ac:dyDescent="0.65">
      <c r="B168" s="4" t="s">
        <v>252</v>
      </c>
      <c r="C168" s="4" t="s">
        <v>253</v>
      </c>
      <c r="D168" s="3" t="e">
        <f>VLOOKUP(C168,#REF!,1,FALSE)</f>
        <v>#REF!</v>
      </c>
    </row>
    <row r="169" spans="2:4" s="1" customFormat="1" x14ac:dyDescent="0.65">
      <c r="B169" s="4" t="s">
        <v>254</v>
      </c>
      <c r="C169" s="4" t="s">
        <v>255</v>
      </c>
      <c r="D169" s="3" t="e">
        <f>VLOOKUP(C169,#REF!,1,FALSE)</f>
        <v>#REF!</v>
      </c>
    </row>
    <row r="170" spans="2:4" s="1" customFormat="1" x14ac:dyDescent="0.65">
      <c r="B170" s="4" t="s">
        <v>256</v>
      </c>
      <c r="C170" s="4" t="s">
        <v>257</v>
      </c>
      <c r="D170" s="3" t="e">
        <f>VLOOKUP(C170,#REF!,1,FALSE)</f>
        <v>#REF!</v>
      </c>
    </row>
    <row r="171" spans="2:4" s="1" customFormat="1" x14ac:dyDescent="0.65">
      <c r="B171" s="4" t="s">
        <v>258</v>
      </c>
      <c r="C171" s="4" t="s">
        <v>259</v>
      </c>
      <c r="D171" s="3" t="e">
        <f>VLOOKUP(C171,#REF!,1,FALSE)</f>
        <v>#REF!</v>
      </c>
    </row>
    <row r="172" spans="2:4" s="1" customFormat="1" x14ac:dyDescent="0.65">
      <c r="B172" s="4" t="s">
        <v>260</v>
      </c>
      <c r="C172" s="4" t="s">
        <v>261</v>
      </c>
      <c r="D172" s="3" t="e">
        <f>VLOOKUP(C172,#REF!,1,FALSE)</f>
        <v>#REF!</v>
      </c>
    </row>
    <row r="173" spans="2:4" s="1" customFormat="1" x14ac:dyDescent="0.65">
      <c r="B173" s="4" t="s">
        <v>262</v>
      </c>
      <c r="C173" s="4" t="s">
        <v>263</v>
      </c>
      <c r="D173" s="3" t="e">
        <f>VLOOKUP(C173,#REF!,1,FALSE)</f>
        <v>#REF!</v>
      </c>
    </row>
    <row r="174" spans="2:4" s="1" customFormat="1" x14ac:dyDescent="0.65">
      <c r="B174" s="4" t="s">
        <v>264</v>
      </c>
      <c r="C174" s="4" t="s">
        <v>265</v>
      </c>
      <c r="D174" s="3" t="e">
        <f>VLOOKUP(C174,#REF!,1,FALSE)</f>
        <v>#REF!</v>
      </c>
    </row>
    <row r="175" spans="2:4" s="1" customFormat="1" x14ac:dyDescent="0.65">
      <c r="B175" s="4" t="s">
        <v>266</v>
      </c>
      <c r="C175" s="4" t="s">
        <v>267</v>
      </c>
      <c r="D175" s="3" t="e">
        <f>VLOOKUP(C175,#REF!,1,FALSE)</f>
        <v>#REF!</v>
      </c>
    </row>
    <row r="176" spans="2:4" s="1" customFormat="1" x14ac:dyDescent="0.65">
      <c r="B176" s="4" t="s">
        <v>268</v>
      </c>
      <c r="C176" s="4" t="s">
        <v>269</v>
      </c>
      <c r="D176" s="3" t="e">
        <f>VLOOKUP(C176,#REF!,1,FALSE)</f>
        <v>#REF!</v>
      </c>
    </row>
    <row r="177" spans="2:4" s="1" customFormat="1" x14ac:dyDescent="0.65">
      <c r="B177" s="4" t="s">
        <v>270</v>
      </c>
      <c r="C177" s="4" t="s">
        <v>271</v>
      </c>
      <c r="D177" s="3" t="e">
        <f>VLOOKUP(C177,#REF!,1,FALSE)</f>
        <v>#REF!</v>
      </c>
    </row>
    <row r="178" spans="2:4" s="1" customFormat="1" x14ac:dyDescent="0.65">
      <c r="B178" s="4" t="s">
        <v>272</v>
      </c>
      <c r="C178" s="4" t="s">
        <v>273</v>
      </c>
      <c r="D178" s="3" t="e">
        <f>VLOOKUP(C178,#REF!,1,FALSE)</f>
        <v>#REF!</v>
      </c>
    </row>
    <row r="179" spans="2:4" s="1" customFormat="1" x14ac:dyDescent="0.65">
      <c r="B179" s="4" t="s">
        <v>274</v>
      </c>
      <c r="C179" s="4" t="s">
        <v>275</v>
      </c>
      <c r="D179" s="3" t="e">
        <f>VLOOKUP(C179,#REF!,1,FALSE)</f>
        <v>#REF!</v>
      </c>
    </row>
    <row r="180" spans="2:4" s="1" customFormat="1" x14ac:dyDescent="0.65">
      <c r="B180" s="4" t="s">
        <v>276</v>
      </c>
      <c r="C180" s="4" t="s">
        <v>277</v>
      </c>
      <c r="D180" s="3" t="e">
        <f>VLOOKUP(C180,#REF!,1,FALSE)</f>
        <v>#REF!</v>
      </c>
    </row>
    <row r="181" spans="2:4" s="1" customFormat="1" x14ac:dyDescent="0.65">
      <c r="B181" s="4" t="s">
        <v>278</v>
      </c>
      <c r="C181" s="4" t="s">
        <v>279</v>
      </c>
      <c r="D181" s="3" t="e">
        <f>VLOOKUP(C181,#REF!,1,FALSE)</f>
        <v>#REF!</v>
      </c>
    </row>
    <row r="182" spans="2:4" s="1" customFormat="1" x14ac:dyDescent="0.65">
      <c r="B182" s="4" t="s">
        <v>280</v>
      </c>
      <c r="C182" s="4" t="s">
        <v>281</v>
      </c>
      <c r="D182" s="3" t="e">
        <f>VLOOKUP(C182,#REF!,1,FALSE)</f>
        <v>#REF!</v>
      </c>
    </row>
    <row r="183" spans="2:4" s="1" customFormat="1" x14ac:dyDescent="0.65">
      <c r="B183" s="4" t="s">
        <v>282</v>
      </c>
      <c r="C183" s="4" t="s">
        <v>283</v>
      </c>
      <c r="D183" s="3" t="e">
        <f>VLOOKUP(C183,#REF!,1,FALSE)</f>
        <v>#REF!</v>
      </c>
    </row>
    <row r="184" spans="2:4" s="1" customFormat="1" x14ac:dyDescent="0.65">
      <c r="B184" s="4" t="s">
        <v>284</v>
      </c>
      <c r="C184" s="4" t="s">
        <v>285</v>
      </c>
      <c r="D184" s="3" t="e">
        <f>VLOOKUP(C184,#REF!,1,FALSE)</f>
        <v>#REF!</v>
      </c>
    </row>
    <row r="185" spans="2:4" s="1" customFormat="1" x14ac:dyDescent="0.65">
      <c r="B185" s="4" t="s">
        <v>286</v>
      </c>
      <c r="C185" s="4" t="s">
        <v>287</v>
      </c>
      <c r="D185" s="3" t="e">
        <f>VLOOKUP(C185,#REF!,1,FALSE)</f>
        <v>#REF!</v>
      </c>
    </row>
    <row r="186" spans="2:4" s="1" customFormat="1" x14ac:dyDescent="0.65">
      <c r="B186" s="4" t="s">
        <v>288</v>
      </c>
      <c r="C186" s="4" t="s">
        <v>289</v>
      </c>
      <c r="D186" s="3" t="e">
        <f>VLOOKUP(C186,#REF!,1,FALSE)</f>
        <v>#REF!</v>
      </c>
    </row>
    <row r="187" spans="2:4" s="1" customFormat="1" x14ac:dyDescent="0.65">
      <c r="B187" s="4" t="s">
        <v>290</v>
      </c>
      <c r="C187" s="4" t="s">
        <v>291</v>
      </c>
      <c r="D187" s="3" t="e">
        <f>VLOOKUP(C187,#REF!,1,FALSE)</f>
        <v>#REF!</v>
      </c>
    </row>
    <row r="188" spans="2:4" s="1" customFormat="1" x14ac:dyDescent="0.65">
      <c r="B188" s="4" t="s">
        <v>292</v>
      </c>
      <c r="C188" s="4" t="s">
        <v>293</v>
      </c>
      <c r="D188" s="3" t="e">
        <f>VLOOKUP(C188,#REF!,1,FALSE)</f>
        <v>#REF!</v>
      </c>
    </row>
    <row r="189" spans="2:4" s="1" customFormat="1" x14ac:dyDescent="0.65">
      <c r="B189" s="4" t="s">
        <v>294</v>
      </c>
      <c r="C189" s="4" t="s">
        <v>295</v>
      </c>
      <c r="D189" s="3" t="e">
        <f>VLOOKUP(C189,#REF!,1,FALSE)</f>
        <v>#REF!</v>
      </c>
    </row>
    <row r="190" spans="2:4" s="1" customFormat="1" x14ac:dyDescent="0.65">
      <c r="B190" s="4" t="s">
        <v>296</v>
      </c>
      <c r="C190" s="4" t="s">
        <v>297</v>
      </c>
      <c r="D190" s="3" t="e">
        <f>VLOOKUP(C190,#REF!,1,FALSE)</f>
        <v>#REF!</v>
      </c>
    </row>
    <row r="191" spans="2:4" s="1" customFormat="1" x14ac:dyDescent="0.65">
      <c r="B191" s="4" t="s">
        <v>298</v>
      </c>
      <c r="C191" s="4" t="s">
        <v>299</v>
      </c>
      <c r="D191" s="3" t="e">
        <f>VLOOKUP(C191,#REF!,1,FALSE)</f>
        <v>#REF!</v>
      </c>
    </row>
    <row r="192" spans="2:4" s="1" customFormat="1" x14ac:dyDescent="0.65">
      <c r="B192" s="4" t="s">
        <v>300</v>
      </c>
      <c r="C192" s="4" t="s">
        <v>301</v>
      </c>
      <c r="D192" s="3" t="e">
        <f>VLOOKUP(C192,#REF!,1,FALSE)</f>
        <v>#REF!</v>
      </c>
    </row>
    <row r="193" spans="2:4" s="1" customFormat="1" x14ac:dyDescent="0.65">
      <c r="B193" s="4" t="s">
        <v>302</v>
      </c>
      <c r="C193" s="4" t="s">
        <v>303</v>
      </c>
      <c r="D193" s="3" t="e">
        <f>VLOOKUP(C193,#REF!,1,FALSE)</f>
        <v>#REF!</v>
      </c>
    </row>
    <row r="194" spans="2:4" s="1" customFormat="1" x14ac:dyDescent="0.65">
      <c r="B194" s="4" t="s">
        <v>304</v>
      </c>
      <c r="C194" s="4" t="s">
        <v>305</v>
      </c>
      <c r="D194" s="3" t="e">
        <f>VLOOKUP(C194,#REF!,1,FALSE)</f>
        <v>#REF!</v>
      </c>
    </row>
    <row r="195" spans="2:4" s="1" customFormat="1" x14ac:dyDescent="0.65">
      <c r="B195" s="4" t="s">
        <v>306</v>
      </c>
      <c r="C195" s="4" t="s">
        <v>307</v>
      </c>
      <c r="D195" s="3" t="e">
        <f>VLOOKUP(C195,#REF!,1,FALSE)</f>
        <v>#REF!</v>
      </c>
    </row>
    <row r="196" spans="2:4" s="1" customFormat="1" x14ac:dyDescent="0.65">
      <c r="B196" s="4" t="s">
        <v>308</v>
      </c>
      <c r="C196" s="4" t="s">
        <v>309</v>
      </c>
      <c r="D196" s="3" t="e">
        <f>VLOOKUP(C196,#REF!,1,FALSE)</f>
        <v>#REF!</v>
      </c>
    </row>
    <row r="197" spans="2:4" s="1" customFormat="1" x14ac:dyDescent="0.65">
      <c r="B197" s="4" t="s">
        <v>310</v>
      </c>
      <c r="C197" s="4" t="s">
        <v>311</v>
      </c>
      <c r="D197" s="3" t="e">
        <f>VLOOKUP(C197,#REF!,1,FALSE)</f>
        <v>#REF!</v>
      </c>
    </row>
    <row r="198" spans="2:4" s="1" customFormat="1" x14ac:dyDescent="0.65">
      <c r="B198" s="4" t="s">
        <v>312</v>
      </c>
      <c r="C198" s="4" t="s">
        <v>313</v>
      </c>
      <c r="D198" s="3" t="e">
        <f>VLOOKUP(C198,#REF!,1,FALSE)</f>
        <v>#REF!</v>
      </c>
    </row>
    <row r="199" spans="2:4" s="1" customFormat="1" x14ac:dyDescent="0.65">
      <c r="B199" s="4" t="s">
        <v>314</v>
      </c>
      <c r="C199" s="4" t="s">
        <v>315</v>
      </c>
      <c r="D199" s="3" t="e">
        <f>VLOOKUP(C199,#REF!,1,FALSE)</f>
        <v>#REF!</v>
      </c>
    </row>
    <row r="200" spans="2:4" s="1" customFormat="1" x14ac:dyDescent="0.65">
      <c r="B200" s="4" t="s">
        <v>316</v>
      </c>
      <c r="C200" s="4" t="s">
        <v>317</v>
      </c>
      <c r="D200" s="3" t="e">
        <f>VLOOKUP(C200,#REF!,1,FALSE)</f>
        <v>#REF!</v>
      </c>
    </row>
    <row r="201" spans="2:4" s="1" customFormat="1" x14ac:dyDescent="0.65">
      <c r="B201" s="4" t="s">
        <v>318</v>
      </c>
      <c r="C201" s="4" t="s">
        <v>319</v>
      </c>
      <c r="D201" s="3" t="e">
        <f>VLOOKUP(C201,#REF!,1,FALSE)</f>
        <v>#REF!</v>
      </c>
    </row>
    <row r="202" spans="2:4" s="1" customFormat="1" x14ac:dyDescent="0.65">
      <c r="B202" s="4" t="s">
        <v>320</v>
      </c>
      <c r="C202" s="4" t="s">
        <v>321</v>
      </c>
      <c r="D202" s="3" t="e">
        <f>VLOOKUP(C202,#REF!,1,FALSE)</f>
        <v>#REF!</v>
      </c>
    </row>
    <row r="203" spans="2:4" s="1" customFormat="1" x14ac:dyDescent="0.65">
      <c r="B203" s="4" t="s">
        <v>322</v>
      </c>
      <c r="C203" s="4" t="s">
        <v>323</v>
      </c>
      <c r="D203" s="3" t="e">
        <f>VLOOKUP(C203,#REF!,1,FALSE)</f>
        <v>#REF!</v>
      </c>
    </row>
    <row r="204" spans="2:4" s="1" customFormat="1" x14ac:dyDescent="0.65">
      <c r="B204" s="4" t="s">
        <v>324</v>
      </c>
      <c r="C204" s="4" t="s">
        <v>325</v>
      </c>
      <c r="D204" s="3" t="e">
        <f>VLOOKUP(C204,#REF!,1,FALSE)</f>
        <v>#REF!</v>
      </c>
    </row>
    <row r="205" spans="2:4" s="1" customFormat="1" x14ac:dyDescent="0.65">
      <c r="B205" s="4" t="s">
        <v>326</v>
      </c>
      <c r="C205" s="4" t="s">
        <v>327</v>
      </c>
      <c r="D205" s="3" t="e">
        <f>VLOOKUP(C205,#REF!,1,FALSE)</f>
        <v>#REF!</v>
      </c>
    </row>
    <row r="206" spans="2:4" s="1" customFormat="1" x14ac:dyDescent="0.65">
      <c r="B206" s="4" t="s">
        <v>328</v>
      </c>
      <c r="C206" s="4" t="s">
        <v>329</v>
      </c>
      <c r="D206" s="3" t="e">
        <f>VLOOKUP(C206,#REF!,1,FALSE)</f>
        <v>#REF!</v>
      </c>
    </row>
    <row r="207" spans="2:4" s="1" customFormat="1" x14ac:dyDescent="0.65">
      <c r="B207" s="4" t="s">
        <v>330</v>
      </c>
      <c r="C207" s="4" t="s">
        <v>331</v>
      </c>
      <c r="D207" s="3" t="e">
        <f>VLOOKUP(C207,#REF!,1,FALSE)</f>
        <v>#REF!</v>
      </c>
    </row>
    <row r="208" spans="2:4" s="1" customFormat="1" x14ac:dyDescent="0.65">
      <c r="B208" s="4" t="s">
        <v>332</v>
      </c>
      <c r="C208" s="4" t="s">
        <v>333</v>
      </c>
      <c r="D208" s="3" t="e">
        <f>VLOOKUP(C208,#REF!,1,FALSE)</f>
        <v>#REF!</v>
      </c>
    </row>
    <row r="209" spans="2:4" s="1" customFormat="1" x14ac:dyDescent="0.65">
      <c r="B209" s="4" t="s">
        <v>334</v>
      </c>
      <c r="C209" s="4" t="s">
        <v>335</v>
      </c>
      <c r="D209" s="3" t="e">
        <f>VLOOKUP(C209,#REF!,1,FALSE)</f>
        <v>#REF!</v>
      </c>
    </row>
    <row r="210" spans="2:4" s="1" customFormat="1" x14ac:dyDescent="0.65">
      <c r="B210" s="4" t="s">
        <v>336</v>
      </c>
      <c r="C210" s="4" t="s">
        <v>337</v>
      </c>
      <c r="D210" s="3" t="e">
        <f>VLOOKUP(C210,#REF!,1,FALSE)</f>
        <v>#REF!</v>
      </c>
    </row>
    <row r="211" spans="2:4" s="1" customFormat="1" x14ac:dyDescent="0.65">
      <c r="B211" s="4" t="s">
        <v>338</v>
      </c>
      <c r="C211" s="4" t="s">
        <v>339</v>
      </c>
      <c r="D211" s="3" t="e">
        <f>VLOOKUP(C211,#REF!,1,FALSE)</f>
        <v>#REF!</v>
      </c>
    </row>
    <row r="212" spans="2:4" s="1" customFormat="1" x14ac:dyDescent="0.65">
      <c r="B212" s="4" t="s">
        <v>340</v>
      </c>
      <c r="C212" s="4" t="s">
        <v>341</v>
      </c>
      <c r="D212" s="3" t="e">
        <f>VLOOKUP(C212,#REF!,1,FALSE)</f>
        <v>#REF!</v>
      </c>
    </row>
    <row r="213" spans="2:4" s="1" customFormat="1" x14ac:dyDescent="0.65">
      <c r="B213" s="4" t="s">
        <v>342</v>
      </c>
      <c r="C213" s="4" t="s">
        <v>343</v>
      </c>
      <c r="D213" s="3" t="e">
        <f>VLOOKUP(C213,#REF!,1,FALSE)</f>
        <v>#REF!</v>
      </c>
    </row>
    <row r="214" spans="2:4" s="1" customFormat="1" x14ac:dyDescent="0.65">
      <c r="B214" s="4" t="s">
        <v>344</v>
      </c>
      <c r="C214" s="4" t="s">
        <v>345</v>
      </c>
      <c r="D214" s="3" t="e">
        <f>VLOOKUP(C214,#REF!,1,FALSE)</f>
        <v>#REF!</v>
      </c>
    </row>
    <row r="215" spans="2:4" s="1" customFormat="1" x14ac:dyDescent="0.65">
      <c r="B215" s="4" t="s">
        <v>346</v>
      </c>
      <c r="C215" s="4" t="s">
        <v>347</v>
      </c>
      <c r="D215" s="3" t="e">
        <f>VLOOKUP(C215,#REF!,1,FALSE)</f>
        <v>#REF!</v>
      </c>
    </row>
    <row r="216" spans="2:4" s="1" customFormat="1" x14ac:dyDescent="0.65">
      <c r="B216" s="4" t="s">
        <v>348</v>
      </c>
      <c r="C216" s="4" t="s">
        <v>349</v>
      </c>
      <c r="D216" s="3" t="e">
        <f>VLOOKUP(C216,#REF!,1,FALSE)</f>
        <v>#REF!</v>
      </c>
    </row>
    <row r="217" spans="2:4" s="1" customFormat="1" x14ac:dyDescent="0.65">
      <c r="B217" s="4" t="s">
        <v>350</v>
      </c>
      <c r="C217" s="4" t="s">
        <v>351</v>
      </c>
      <c r="D217" s="3" t="e">
        <f>VLOOKUP(C217,#REF!,1,FALSE)</f>
        <v>#REF!</v>
      </c>
    </row>
    <row r="218" spans="2:4" s="1" customFormat="1" x14ac:dyDescent="0.65">
      <c r="B218" s="4" t="s">
        <v>352</v>
      </c>
      <c r="C218" s="4" t="s">
        <v>353</v>
      </c>
      <c r="D218" s="3" t="e">
        <f>VLOOKUP(C218,#REF!,1,FALSE)</f>
        <v>#REF!</v>
      </c>
    </row>
    <row r="219" spans="2:4" s="1" customFormat="1" x14ac:dyDescent="0.65">
      <c r="B219" s="4" t="s">
        <v>354</v>
      </c>
      <c r="C219" s="4" t="s">
        <v>355</v>
      </c>
      <c r="D219" s="3" t="e">
        <f>VLOOKUP(C219,#REF!,1,FALSE)</f>
        <v>#REF!</v>
      </c>
    </row>
    <row r="220" spans="2:4" s="1" customFormat="1" x14ac:dyDescent="0.65">
      <c r="B220" s="4" t="s">
        <v>356</v>
      </c>
      <c r="C220" s="4" t="s">
        <v>357</v>
      </c>
      <c r="D220" s="3" t="e">
        <f>VLOOKUP(C220,#REF!,1,FALSE)</f>
        <v>#REF!</v>
      </c>
    </row>
    <row r="221" spans="2:4" s="1" customFormat="1" x14ac:dyDescent="0.65">
      <c r="B221" s="4" t="s">
        <v>358</v>
      </c>
      <c r="C221" s="4" t="s">
        <v>359</v>
      </c>
      <c r="D221" s="3" t="e">
        <f>VLOOKUP(C221,#REF!,1,FALSE)</f>
        <v>#REF!</v>
      </c>
    </row>
    <row r="222" spans="2:4" s="1" customFormat="1" x14ac:dyDescent="0.65">
      <c r="B222" s="4" t="s">
        <v>360</v>
      </c>
      <c r="C222" s="4" t="s">
        <v>361</v>
      </c>
      <c r="D222" s="3" t="e">
        <f>VLOOKUP(C222,#REF!,1,FALSE)</f>
        <v>#REF!</v>
      </c>
    </row>
    <row r="223" spans="2:4" s="1" customFormat="1" x14ac:dyDescent="0.65">
      <c r="B223" s="4" t="s">
        <v>362</v>
      </c>
      <c r="C223" s="4" t="s">
        <v>363</v>
      </c>
      <c r="D223" s="3" t="e">
        <f>VLOOKUP(C223,#REF!,1,FALSE)</f>
        <v>#REF!</v>
      </c>
    </row>
    <row r="224" spans="2:4" s="1" customFormat="1" x14ac:dyDescent="0.65">
      <c r="B224" s="4" t="s">
        <v>364</v>
      </c>
      <c r="C224" s="4" t="s">
        <v>365</v>
      </c>
      <c r="D224" s="3" t="e">
        <f>VLOOKUP(C224,#REF!,1,FALSE)</f>
        <v>#REF!</v>
      </c>
    </row>
    <row r="225" spans="2:4" s="1" customFormat="1" x14ac:dyDescent="0.65">
      <c r="B225" s="4" t="s">
        <v>366</v>
      </c>
      <c r="C225" s="4" t="s">
        <v>367</v>
      </c>
      <c r="D225" s="3" t="e">
        <f>VLOOKUP(C225,#REF!,1,FALSE)</f>
        <v>#REF!</v>
      </c>
    </row>
    <row r="226" spans="2:4" s="1" customFormat="1" x14ac:dyDescent="0.65">
      <c r="B226" s="4" t="s">
        <v>368</v>
      </c>
      <c r="C226" s="4" t="s">
        <v>369</v>
      </c>
      <c r="D226" s="3" t="e">
        <f>VLOOKUP(C226,#REF!,1,FALSE)</f>
        <v>#REF!</v>
      </c>
    </row>
    <row r="227" spans="2:4" s="1" customFormat="1" x14ac:dyDescent="0.65">
      <c r="B227" s="4" t="s">
        <v>370</v>
      </c>
      <c r="C227" s="4" t="s">
        <v>371</v>
      </c>
      <c r="D227" s="3" t="e">
        <f>VLOOKUP(C227,#REF!,1,FALSE)</f>
        <v>#REF!</v>
      </c>
    </row>
    <row r="228" spans="2:4" s="1" customFormat="1" x14ac:dyDescent="0.65">
      <c r="B228" s="4" t="s">
        <v>372</v>
      </c>
      <c r="C228" s="4" t="s">
        <v>373</v>
      </c>
      <c r="D228" s="3" t="e">
        <f>VLOOKUP(C228,#REF!,1,FALSE)</f>
        <v>#REF!</v>
      </c>
    </row>
    <row r="229" spans="2:4" s="1" customFormat="1" x14ac:dyDescent="0.65">
      <c r="B229" s="4" t="s">
        <v>374</v>
      </c>
      <c r="C229" s="4" t="s">
        <v>375</v>
      </c>
      <c r="D229" s="3" t="e">
        <f>VLOOKUP(C229,#REF!,1,FALSE)</f>
        <v>#REF!</v>
      </c>
    </row>
    <row r="230" spans="2:4" s="1" customFormat="1" x14ac:dyDescent="0.65">
      <c r="B230" s="4" t="s">
        <v>376</v>
      </c>
      <c r="C230" s="4" t="s">
        <v>377</v>
      </c>
      <c r="D230" s="3" t="e">
        <f>VLOOKUP(C230,#REF!,1,FALSE)</f>
        <v>#REF!</v>
      </c>
    </row>
    <row r="231" spans="2:4" s="1" customFormat="1" x14ac:dyDescent="0.65">
      <c r="B231" s="4" t="s">
        <v>378</v>
      </c>
      <c r="C231" s="4" t="s">
        <v>379</v>
      </c>
      <c r="D231" s="3" t="e">
        <f>VLOOKUP(C231,#REF!,1,FALSE)</f>
        <v>#REF!</v>
      </c>
    </row>
    <row r="232" spans="2:4" s="1" customFormat="1" x14ac:dyDescent="0.65">
      <c r="B232" s="4" t="s">
        <v>380</v>
      </c>
      <c r="C232" s="4" t="s">
        <v>381</v>
      </c>
      <c r="D232" s="3" t="e">
        <f>VLOOKUP(C232,#REF!,1,FALSE)</f>
        <v>#REF!</v>
      </c>
    </row>
    <row r="233" spans="2:4" s="1" customFormat="1" x14ac:dyDescent="0.65">
      <c r="B233" s="4" t="s">
        <v>382</v>
      </c>
      <c r="C233" s="4" t="s">
        <v>383</v>
      </c>
      <c r="D233" s="3" t="e">
        <f>VLOOKUP(C233,#REF!,1,FALSE)</f>
        <v>#REF!</v>
      </c>
    </row>
    <row r="234" spans="2:4" s="1" customFormat="1" x14ac:dyDescent="0.65">
      <c r="B234" s="4" t="s">
        <v>384</v>
      </c>
      <c r="C234" s="4" t="s">
        <v>385</v>
      </c>
      <c r="D234" s="3" t="e">
        <f>VLOOKUP(C234,#REF!,1,FALSE)</f>
        <v>#REF!</v>
      </c>
    </row>
    <row r="235" spans="2:4" s="1" customFormat="1" x14ac:dyDescent="0.65">
      <c r="B235" s="4" t="s">
        <v>386</v>
      </c>
      <c r="C235" s="4" t="s">
        <v>387</v>
      </c>
      <c r="D235" s="3" t="e">
        <f>VLOOKUP(C235,#REF!,1,FALSE)</f>
        <v>#REF!</v>
      </c>
    </row>
    <row r="236" spans="2:4" s="1" customFormat="1" x14ac:dyDescent="0.65">
      <c r="B236" s="4" t="s">
        <v>388</v>
      </c>
      <c r="C236" s="4" t="s">
        <v>389</v>
      </c>
      <c r="D236" s="3" t="e">
        <f>VLOOKUP(C236,#REF!,1,FALSE)</f>
        <v>#REF!</v>
      </c>
    </row>
    <row r="237" spans="2:4" s="1" customFormat="1" x14ac:dyDescent="0.65">
      <c r="B237" s="4" t="s">
        <v>390</v>
      </c>
      <c r="C237" s="4" t="s">
        <v>391</v>
      </c>
      <c r="D237" s="3" t="e">
        <f>VLOOKUP(C237,#REF!,1,FALSE)</f>
        <v>#REF!</v>
      </c>
    </row>
    <row r="238" spans="2:4" s="1" customFormat="1" x14ac:dyDescent="0.65">
      <c r="B238" s="4" t="s">
        <v>392</v>
      </c>
      <c r="C238" s="4" t="s">
        <v>393</v>
      </c>
      <c r="D238" s="3" t="e">
        <f>VLOOKUP(C238,#REF!,1,FALSE)</f>
        <v>#REF!</v>
      </c>
    </row>
    <row r="239" spans="2:4" s="1" customFormat="1" x14ac:dyDescent="0.65">
      <c r="B239" s="4" t="s">
        <v>394</v>
      </c>
      <c r="C239" s="4" t="s">
        <v>395</v>
      </c>
      <c r="D239" s="3" t="e">
        <f>VLOOKUP(C239,#REF!,1,FALSE)</f>
        <v>#REF!</v>
      </c>
    </row>
    <row r="240" spans="2:4" s="1" customFormat="1" x14ac:dyDescent="0.65">
      <c r="B240" s="4" t="s">
        <v>396</v>
      </c>
      <c r="C240" s="4" t="s">
        <v>397</v>
      </c>
      <c r="D240" s="3" t="e">
        <f>VLOOKUP(C240,#REF!,1,FALSE)</f>
        <v>#REF!</v>
      </c>
    </row>
    <row r="241" spans="2:4" s="1" customFormat="1" x14ac:dyDescent="0.65">
      <c r="B241" s="4" t="s">
        <v>398</v>
      </c>
      <c r="C241" s="4" t="s">
        <v>399</v>
      </c>
      <c r="D241" s="3" t="e">
        <f>VLOOKUP(C241,#REF!,1,FALSE)</f>
        <v>#REF!</v>
      </c>
    </row>
    <row r="242" spans="2:4" s="1" customFormat="1" x14ac:dyDescent="0.65">
      <c r="B242" s="4" t="s">
        <v>400</v>
      </c>
      <c r="C242" s="4" t="s">
        <v>401</v>
      </c>
      <c r="D242" s="3" t="e">
        <f>VLOOKUP(C242,#REF!,1,FALSE)</f>
        <v>#REF!</v>
      </c>
    </row>
    <row r="243" spans="2:4" s="1" customFormat="1" x14ac:dyDescent="0.65">
      <c r="B243" s="4" t="s">
        <v>402</v>
      </c>
      <c r="C243" s="4" t="s">
        <v>403</v>
      </c>
      <c r="D243" s="3" t="e">
        <f>VLOOKUP(C243,#REF!,1,FALSE)</f>
        <v>#REF!</v>
      </c>
    </row>
    <row r="244" spans="2:4" s="1" customFormat="1" x14ac:dyDescent="0.65">
      <c r="B244" s="4" t="s">
        <v>404</v>
      </c>
      <c r="C244" s="4" t="s">
        <v>405</v>
      </c>
      <c r="D244" s="3" t="e">
        <f>VLOOKUP(C244,#REF!,1,FALSE)</f>
        <v>#REF!</v>
      </c>
    </row>
    <row r="245" spans="2:4" s="1" customFormat="1" x14ac:dyDescent="0.65">
      <c r="B245" s="4" t="s">
        <v>406</v>
      </c>
      <c r="C245" s="4" t="s">
        <v>407</v>
      </c>
      <c r="D245" s="3" t="e">
        <f>VLOOKUP(C245,#REF!,1,FALSE)</f>
        <v>#REF!</v>
      </c>
    </row>
    <row r="246" spans="2:4" s="1" customFormat="1" x14ac:dyDescent="0.65">
      <c r="B246" s="4" t="s">
        <v>408</v>
      </c>
      <c r="C246" s="4" t="s">
        <v>409</v>
      </c>
      <c r="D246" s="3" t="e">
        <f>VLOOKUP(C246,#REF!,1,FALSE)</f>
        <v>#REF!</v>
      </c>
    </row>
    <row r="247" spans="2:4" s="1" customFormat="1" x14ac:dyDescent="0.65">
      <c r="B247" s="4" t="s">
        <v>410</v>
      </c>
      <c r="C247" s="4" t="s">
        <v>411</v>
      </c>
      <c r="D247" s="3" t="e">
        <f>VLOOKUP(C247,#REF!,1,FALSE)</f>
        <v>#REF!</v>
      </c>
    </row>
    <row r="248" spans="2:4" s="1" customFormat="1" x14ac:dyDescent="0.65">
      <c r="B248" s="4" t="s">
        <v>412</v>
      </c>
      <c r="C248" s="4" t="s">
        <v>413</v>
      </c>
      <c r="D248" s="3" t="e">
        <f>VLOOKUP(C248,#REF!,1,FALSE)</f>
        <v>#REF!</v>
      </c>
    </row>
    <row r="249" spans="2:4" s="1" customFormat="1" x14ac:dyDescent="0.65">
      <c r="B249" s="4" t="s">
        <v>414</v>
      </c>
      <c r="C249" s="4" t="s">
        <v>415</v>
      </c>
      <c r="D249" s="3" t="e">
        <f>VLOOKUP(C249,#REF!,1,FALSE)</f>
        <v>#REF!</v>
      </c>
    </row>
    <row r="250" spans="2:4" s="1" customFormat="1" x14ac:dyDescent="0.65">
      <c r="B250" s="4" t="s">
        <v>416</v>
      </c>
      <c r="C250" s="4" t="s">
        <v>417</v>
      </c>
      <c r="D250" s="3" t="e">
        <f>VLOOKUP(C250,#REF!,1,FALSE)</f>
        <v>#REF!</v>
      </c>
    </row>
    <row r="251" spans="2:4" s="1" customFormat="1" x14ac:dyDescent="0.65">
      <c r="B251" s="4" t="s">
        <v>418</v>
      </c>
      <c r="C251" s="4" t="s">
        <v>419</v>
      </c>
      <c r="D251" s="3" t="e">
        <f>VLOOKUP(C251,#REF!,1,FALSE)</f>
        <v>#REF!</v>
      </c>
    </row>
    <row r="252" spans="2:4" s="1" customFormat="1" x14ac:dyDescent="0.65">
      <c r="B252" s="4" t="s">
        <v>420</v>
      </c>
      <c r="C252" s="4" t="s">
        <v>421</v>
      </c>
      <c r="D252" s="3" t="e">
        <f>VLOOKUP(C252,#REF!,1,FALSE)</f>
        <v>#REF!</v>
      </c>
    </row>
    <row r="253" spans="2:4" s="1" customFormat="1" x14ac:dyDescent="0.65">
      <c r="B253" s="4" t="s">
        <v>422</v>
      </c>
      <c r="C253" s="4" t="s">
        <v>423</v>
      </c>
      <c r="D253" s="3" t="e">
        <f>VLOOKUP(C253,#REF!,1,FALSE)</f>
        <v>#REF!</v>
      </c>
    </row>
    <row r="254" spans="2:4" s="1" customFormat="1" x14ac:dyDescent="0.65">
      <c r="B254" s="4" t="s">
        <v>424</v>
      </c>
      <c r="C254" s="4" t="s">
        <v>425</v>
      </c>
      <c r="D254" s="3" t="e">
        <f>VLOOKUP(C254,#REF!,1,FALSE)</f>
        <v>#REF!</v>
      </c>
    </row>
    <row r="255" spans="2:4" s="1" customFormat="1" x14ac:dyDescent="0.65">
      <c r="B255" s="4" t="s">
        <v>426</v>
      </c>
      <c r="C255" s="4" t="s">
        <v>427</v>
      </c>
      <c r="D255" s="3" t="e">
        <f>VLOOKUP(C255,#REF!,1,FALSE)</f>
        <v>#REF!</v>
      </c>
    </row>
    <row r="256" spans="2:4" s="1" customFormat="1" x14ac:dyDescent="0.65">
      <c r="B256" s="4" t="s">
        <v>428</v>
      </c>
      <c r="C256" s="4" t="s">
        <v>429</v>
      </c>
      <c r="D256" s="3" t="e">
        <f>VLOOKUP(C256,#REF!,1,FALSE)</f>
        <v>#REF!</v>
      </c>
    </row>
    <row r="257" spans="2:4" s="1" customFormat="1" x14ac:dyDescent="0.65">
      <c r="B257" s="4" t="s">
        <v>430</v>
      </c>
      <c r="C257" s="4" t="s">
        <v>431</v>
      </c>
      <c r="D257" s="3" t="e">
        <f>VLOOKUP(C257,#REF!,1,FALSE)</f>
        <v>#REF!</v>
      </c>
    </row>
    <row r="258" spans="2:4" s="1" customFormat="1" x14ac:dyDescent="0.65">
      <c r="B258" s="4" t="s">
        <v>432</v>
      </c>
      <c r="C258" s="4" t="s">
        <v>433</v>
      </c>
      <c r="D258" s="3" t="e">
        <f>VLOOKUP(C258,#REF!,1,FALSE)</f>
        <v>#REF!</v>
      </c>
    </row>
    <row r="259" spans="2:4" s="1" customFormat="1" x14ac:dyDescent="0.65">
      <c r="B259" s="4" t="s">
        <v>434</v>
      </c>
      <c r="C259" s="4" t="s">
        <v>435</v>
      </c>
      <c r="D259" s="3" t="e">
        <f>VLOOKUP(C259,#REF!,1,FALSE)</f>
        <v>#REF!</v>
      </c>
    </row>
    <row r="260" spans="2:4" s="1" customFormat="1" x14ac:dyDescent="0.65">
      <c r="B260" s="4" t="s">
        <v>436</v>
      </c>
      <c r="C260" s="4" t="s">
        <v>437</v>
      </c>
      <c r="D260" s="3" t="e">
        <f>VLOOKUP(C260,#REF!,1,FALSE)</f>
        <v>#REF!</v>
      </c>
    </row>
    <row r="261" spans="2:4" s="1" customFormat="1" x14ac:dyDescent="0.65">
      <c r="B261" s="4" t="s">
        <v>438</v>
      </c>
      <c r="C261" s="4" t="s">
        <v>439</v>
      </c>
      <c r="D261" s="3" t="e">
        <f>VLOOKUP(C261,#REF!,1,FALSE)</f>
        <v>#REF!</v>
      </c>
    </row>
    <row r="262" spans="2:4" s="1" customFormat="1" x14ac:dyDescent="0.65">
      <c r="B262" s="4" t="s">
        <v>440</v>
      </c>
      <c r="C262" s="4" t="s">
        <v>441</v>
      </c>
      <c r="D262" s="3" t="e">
        <f>VLOOKUP(C262,#REF!,1,FALSE)</f>
        <v>#REF!</v>
      </c>
    </row>
    <row r="263" spans="2:4" s="1" customFormat="1" x14ac:dyDescent="0.65">
      <c r="B263" s="4" t="s">
        <v>442</v>
      </c>
      <c r="C263" s="4" t="s">
        <v>443</v>
      </c>
      <c r="D263" s="3" t="e">
        <f>VLOOKUP(C263,#REF!,1,FALSE)</f>
        <v>#REF!</v>
      </c>
    </row>
    <row r="264" spans="2:4" s="1" customFormat="1" x14ac:dyDescent="0.65">
      <c r="B264" s="4" t="s">
        <v>444</v>
      </c>
      <c r="C264" s="4" t="s">
        <v>445</v>
      </c>
      <c r="D264" s="3" t="e">
        <f>VLOOKUP(C264,#REF!,1,FALSE)</f>
        <v>#REF!</v>
      </c>
    </row>
    <row r="265" spans="2:4" s="1" customFormat="1" x14ac:dyDescent="0.65">
      <c r="B265" s="4" t="s">
        <v>446</v>
      </c>
      <c r="C265" s="4" t="s">
        <v>447</v>
      </c>
      <c r="D265" s="3" t="e">
        <f>VLOOKUP(C265,#REF!,1,FALSE)</f>
        <v>#REF!</v>
      </c>
    </row>
    <row r="266" spans="2:4" s="1" customFormat="1" x14ac:dyDescent="0.65">
      <c r="B266" s="4" t="s">
        <v>448</v>
      </c>
      <c r="C266" s="4" t="s">
        <v>449</v>
      </c>
      <c r="D266" s="3" t="e">
        <f>VLOOKUP(C266,#REF!,1,FALSE)</f>
        <v>#REF!</v>
      </c>
    </row>
    <row r="267" spans="2:4" s="1" customFormat="1" x14ac:dyDescent="0.65">
      <c r="B267" s="4" t="s">
        <v>450</v>
      </c>
      <c r="C267" s="4" t="s">
        <v>451</v>
      </c>
      <c r="D267" s="3" t="e">
        <f>VLOOKUP(C267,#REF!,1,FALSE)</f>
        <v>#REF!</v>
      </c>
    </row>
    <row r="268" spans="2:4" s="1" customFormat="1" x14ac:dyDescent="0.65">
      <c r="B268" s="4" t="s">
        <v>452</v>
      </c>
      <c r="C268" s="4" t="s">
        <v>453</v>
      </c>
      <c r="D268" s="3" t="e">
        <f>VLOOKUP(C268,#REF!,1,FALSE)</f>
        <v>#REF!</v>
      </c>
    </row>
    <row r="269" spans="2:4" s="1" customFormat="1" x14ac:dyDescent="0.65">
      <c r="B269" s="4" t="s">
        <v>454</v>
      </c>
      <c r="C269" s="4" t="s">
        <v>455</v>
      </c>
      <c r="D269" s="3" t="e">
        <f>VLOOKUP(C269,#REF!,1,FALSE)</f>
        <v>#REF!</v>
      </c>
    </row>
    <row r="270" spans="2:4" s="1" customFormat="1" x14ac:dyDescent="0.65">
      <c r="B270" s="4" t="s">
        <v>456</v>
      </c>
      <c r="C270" s="4" t="s">
        <v>457</v>
      </c>
      <c r="D270" s="3" t="e">
        <f>VLOOKUP(C270,#REF!,1,FALSE)</f>
        <v>#REF!</v>
      </c>
    </row>
    <row r="271" spans="2:4" s="1" customFormat="1" x14ac:dyDescent="0.65">
      <c r="B271" s="4" t="s">
        <v>458</v>
      </c>
      <c r="C271" s="4" t="s">
        <v>459</v>
      </c>
      <c r="D271" s="3" t="e">
        <f>VLOOKUP(C271,#REF!,1,FALSE)</f>
        <v>#REF!</v>
      </c>
    </row>
    <row r="272" spans="2:4" s="1" customFormat="1" x14ac:dyDescent="0.65">
      <c r="B272" s="4" t="s">
        <v>460</v>
      </c>
      <c r="C272" s="4" t="s">
        <v>461</v>
      </c>
      <c r="D272" s="3" t="e">
        <f>VLOOKUP(C272,#REF!,1,FALSE)</f>
        <v>#REF!</v>
      </c>
    </row>
    <row r="273" spans="2:4" s="1" customFormat="1" x14ac:dyDescent="0.65">
      <c r="B273" s="4" t="s">
        <v>462</v>
      </c>
      <c r="C273" s="4" t="s">
        <v>463</v>
      </c>
      <c r="D273" s="3" t="e">
        <f>VLOOKUP(C273,#REF!,1,FALSE)</f>
        <v>#REF!</v>
      </c>
    </row>
    <row r="274" spans="2:4" s="1" customFormat="1" x14ac:dyDescent="0.65">
      <c r="B274" s="4" t="s">
        <v>464</v>
      </c>
      <c r="C274" s="4" t="s">
        <v>465</v>
      </c>
      <c r="D274" s="3" t="e">
        <f>VLOOKUP(C274,#REF!,1,FALSE)</f>
        <v>#REF!</v>
      </c>
    </row>
    <row r="275" spans="2:4" s="1" customFormat="1" x14ac:dyDescent="0.65">
      <c r="B275" s="4" t="s">
        <v>466</v>
      </c>
      <c r="C275" s="4" t="s">
        <v>467</v>
      </c>
      <c r="D275" s="3" t="e">
        <f>VLOOKUP(C275,#REF!,1,FALSE)</f>
        <v>#REF!</v>
      </c>
    </row>
    <row r="276" spans="2:4" s="1" customFormat="1" x14ac:dyDescent="0.65">
      <c r="B276" s="4" t="s">
        <v>468</v>
      </c>
      <c r="C276" s="4" t="s">
        <v>469</v>
      </c>
      <c r="D276" s="3" t="e">
        <f>VLOOKUP(C276,#REF!,1,FALSE)</f>
        <v>#REF!</v>
      </c>
    </row>
    <row r="277" spans="2:4" s="1" customFormat="1" x14ac:dyDescent="0.65">
      <c r="B277" s="4" t="s">
        <v>470</v>
      </c>
      <c r="C277" s="4" t="s">
        <v>471</v>
      </c>
      <c r="D277" s="3" t="e">
        <f>VLOOKUP(C277,#REF!,1,FALSE)</f>
        <v>#REF!</v>
      </c>
    </row>
    <row r="278" spans="2:4" s="1" customFormat="1" x14ac:dyDescent="0.65">
      <c r="B278" s="4" t="s">
        <v>868</v>
      </c>
      <c r="C278" s="4" t="s">
        <v>472</v>
      </c>
      <c r="D278" s="3" t="e">
        <f>VLOOKUP(C278,#REF!,1,FALSE)</f>
        <v>#REF!</v>
      </c>
    </row>
    <row r="279" spans="2:4" s="1" customFormat="1" x14ac:dyDescent="0.65">
      <c r="B279" s="4" t="s">
        <v>473</v>
      </c>
      <c r="C279" s="4" t="s">
        <v>474</v>
      </c>
      <c r="D279" s="3" t="e">
        <f>VLOOKUP(C279,#REF!,1,FALSE)</f>
        <v>#REF!</v>
      </c>
    </row>
    <row r="280" spans="2:4" s="1" customFormat="1" x14ac:dyDescent="0.65">
      <c r="B280" s="4" t="s">
        <v>475</v>
      </c>
      <c r="C280" s="4" t="s">
        <v>476</v>
      </c>
      <c r="D280" s="3" t="e">
        <f>VLOOKUP(C280,#REF!,1,FALSE)</f>
        <v>#REF!</v>
      </c>
    </row>
    <row r="281" spans="2:4" s="1" customFormat="1" x14ac:dyDescent="0.65">
      <c r="B281" s="4" t="s">
        <v>477</v>
      </c>
      <c r="C281" s="4" t="s">
        <v>478</v>
      </c>
      <c r="D281" s="3" t="e">
        <f>VLOOKUP(C281,#REF!,1,FALSE)</f>
        <v>#REF!</v>
      </c>
    </row>
    <row r="282" spans="2:4" s="1" customFormat="1" x14ac:dyDescent="0.65">
      <c r="B282" s="4" t="s">
        <v>479</v>
      </c>
      <c r="C282" s="4" t="s">
        <v>480</v>
      </c>
      <c r="D282" s="3" t="e">
        <f>VLOOKUP(C282,#REF!,1,FALSE)</f>
        <v>#REF!</v>
      </c>
    </row>
    <row r="283" spans="2:4" s="1" customFormat="1" x14ac:dyDescent="0.65">
      <c r="B283" s="4" t="s">
        <v>481</v>
      </c>
      <c r="C283" s="4" t="s">
        <v>482</v>
      </c>
      <c r="D283" s="3" t="e">
        <f>VLOOKUP(C283,#REF!,1,FALSE)</f>
        <v>#REF!</v>
      </c>
    </row>
    <row r="284" spans="2:4" s="1" customFormat="1" x14ac:dyDescent="0.65">
      <c r="B284" s="4" t="s">
        <v>483</v>
      </c>
      <c r="C284" s="4" t="s">
        <v>484</v>
      </c>
      <c r="D284" s="3" t="e">
        <f>VLOOKUP(C284,#REF!,1,FALSE)</f>
        <v>#REF!</v>
      </c>
    </row>
    <row r="285" spans="2:4" s="1" customFormat="1" x14ac:dyDescent="0.65">
      <c r="B285" s="4" t="s">
        <v>485</v>
      </c>
      <c r="C285" s="4" t="s">
        <v>486</v>
      </c>
      <c r="D285" s="3" t="e">
        <f>VLOOKUP(C285,#REF!,1,FALSE)</f>
        <v>#REF!</v>
      </c>
    </row>
    <row r="286" spans="2:4" s="1" customFormat="1" x14ac:dyDescent="0.65">
      <c r="B286" s="4" t="s">
        <v>487</v>
      </c>
      <c r="C286" s="4" t="s">
        <v>488</v>
      </c>
      <c r="D286" s="3" t="e">
        <f>VLOOKUP(C286,#REF!,1,FALSE)</f>
        <v>#REF!</v>
      </c>
    </row>
    <row r="287" spans="2:4" s="1" customFormat="1" x14ac:dyDescent="0.65">
      <c r="B287" s="4" t="s">
        <v>489</v>
      </c>
      <c r="C287" s="4" t="s">
        <v>490</v>
      </c>
      <c r="D287" s="3" t="e">
        <f>VLOOKUP(C287,#REF!,1,FALSE)</f>
        <v>#REF!</v>
      </c>
    </row>
    <row r="288" spans="2:4" s="1" customFormat="1" x14ac:dyDescent="0.65">
      <c r="B288" s="4" t="s">
        <v>491</v>
      </c>
      <c r="C288" s="4" t="s">
        <v>492</v>
      </c>
      <c r="D288" s="3" t="e">
        <f>VLOOKUP(C288,#REF!,1,FALSE)</f>
        <v>#REF!</v>
      </c>
    </row>
    <row r="289" spans="2:4" s="1" customFormat="1" x14ac:dyDescent="0.65">
      <c r="B289" s="4" t="s">
        <v>493</v>
      </c>
      <c r="C289" s="4" t="s">
        <v>494</v>
      </c>
      <c r="D289" s="3" t="e">
        <f>VLOOKUP(C289,#REF!,1,FALSE)</f>
        <v>#REF!</v>
      </c>
    </row>
    <row r="290" spans="2:4" s="1" customFormat="1" x14ac:dyDescent="0.65">
      <c r="B290" s="4" t="s">
        <v>495</v>
      </c>
      <c r="C290" s="4" t="s">
        <v>496</v>
      </c>
      <c r="D290" s="3" t="e">
        <f>VLOOKUP(C290,#REF!,1,FALSE)</f>
        <v>#REF!</v>
      </c>
    </row>
    <row r="291" spans="2:4" s="1" customFormat="1" x14ac:dyDescent="0.65">
      <c r="B291" s="4" t="s">
        <v>497</v>
      </c>
      <c r="C291" s="4" t="s">
        <v>498</v>
      </c>
      <c r="D291" s="3" t="e">
        <f>VLOOKUP(C291,#REF!,1,FALSE)</f>
        <v>#REF!</v>
      </c>
    </row>
    <row r="292" spans="2:4" s="1" customFormat="1" x14ac:dyDescent="0.65">
      <c r="B292" s="4" t="s">
        <v>499</v>
      </c>
      <c r="C292" s="4" t="s">
        <v>500</v>
      </c>
      <c r="D292" s="3" t="e">
        <f>VLOOKUP(C292,#REF!,1,FALSE)</f>
        <v>#REF!</v>
      </c>
    </row>
    <row r="293" spans="2:4" s="1" customFormat="1" x14ac:dyDescent="0.65">
      <c r="B293" s="4" t="s">
        <v>501</v>
      </c>
      <c r="C293" s="4" t="s">
        <v>502</v>
      </c>
      <c r="D293" s="3" t="e">
        <f>VLOOKUP(C293,#REF!,1,FALSE)</f>
        <v>#REF!</v>
      </c>
    </row>
    <row r="294" spans="2:4" s="1" customFormat="1" x14ac:dyDescent="0.65">
      <c r="B294" s="4" t="s">
        <v>503</v>
      </c>
      <c r="C294" s="4" t="s">
        <v>504</v>
      </c>
      <c r="D294" s="3" t="e">
        <f>VLOOKUP(C294,#REF!,1,FALSE)</f>
        <v>#REF!</v>
      </c>
    </row>
    <row r="295" spans="2:4" s="1" customFormat="1" x14ac:dyDescent="0.65">
      <c r="B295" s="4" t="s">
        <v>505</v>
      </c>
      <c r="C295" s="4" t="s">
        <v>506</v>
      </c>
      <c r="D295" s="3" t="e">
        <f>VLOOKUP(C295,#REF!,1,FALSE)</f>
        <v>#REF!</v>
      </c>
    </row>
    <row r="296" spans="2:4" s="1" customFormat="1" x14ac:dyDescent="0.65">
      <c r="B296" s="4" t="s">
        <v>507</v>
      </c>
      <c r="C296" s="4" t="s">
        <v>508</v>
      </c>
      <c r="D296" s="3" t="e">
        <f>VLOOKUP(C296,#REF!,1,FALSE)</f>
        <v>#REF!</v>
      </c>
    </row>
    <row r="297" spans="2:4" s="1" customFormat="1" x14ac:dyDescent="0.65">
      <c r="B297" s="4" t="s">
        <v>509</v>
      </c>
      <c r="C297" s="4" t="s">
        <v>510</v>
      </c>
      <c r="D297" s="3" t="e">
        <f>VLOOKUP(C297,#REF!,1,FALSE)</f>
        <v>#REF!</v>
      </c>
    </row>
    <row r="298" spans="2:4" s="1" customFormat="1" x14ac:dyDescent="0.65">
      <c r="B298" s="4" t="s">
        <v>511</v>
      </c>
      <c r="C298" s="4" t="s">
        <v>512</v>
      </c>
      <c r="D298" s="3" t="e">
        <f>VLOOKUP(C298,#REF!,1,FALSE)</f>
        <v>#REF!</v>
      </c>
    </row>
    <row r="299" spans="2:4" s="1" customFormat="1" x14ac:dyDescent="0.65">
      <c r="B299" s="4" t="s">
        <v>513</v>
      </c>
      <c r="C299" s="4" t="s">
        <v>514</v>
      </c>
      <c r="D299" s="3" t="e">
        <f>VLOOKUP(C299,#REF!,1,FALSE)</f>
        <v>#REF!</v>
      </c>
    </row>
    <row r="300" spans="2:4" s="1" customFormat="1" x14ac:dyDescent="0.65">
      <c r="B300" s="4" t="s">
        <v>515</v>
      </c>
      <c r="C300" s="4" t="s">
        <v>516</v>
      </c>
      <c r="D300" s="3" t="e">
        <f>VLOOKUP(C300,#REF!,1,FALSE)</f>
        <v>#REF!</v>
      </c>
    </row>
    <row r="301" spans="2:4" s="1" customFormat="1" x14ac:dyDescent="0.65">
      <c r="B301" s="4" t="s">
        <v>517</v>
      </c>
      <c r="C301" s="4" t="s">
        <v>518</v>
      </c>
      <c r="D301" s="3" t="e">
        <f>VLOOKUP(C301,#REF!,1,FALSE)</f>
        <v>#REF!</v>
      </c>
    </row>
    <row r="302" spans="2:4" s="1" customFormat="1" x14ac:dyDescent="0.65">
      <c r="B302" s="4" t="s">
        <v>519</v>
      </c>
      <c r="C302" s="4" t="s">
        <v>520</v>
      </c>
      <c r="D302" s="3" t="e">
        <f>VLOOKUP(C302,#REF!,1,FALSE)</f>
        <v>#REF!</v>
      </c>
    </row>
    <row r="303" spans="2:4" s="1" customFormat="1" x14ac:dyDescent="0.65">
      <c r="B303" s="4" t="s">
        <v>521</v>
      </c>
      <c r="C303" s="4" t="s">
        <v>522</v>
      </c>
      <c r="D303" s="3" t="e">
        <f>VLOOKUP(C303,#REF!,1,FALSE)</f>
        <v>#REF!</v>
      </c>
    </row>
    <row r="304" spans="2:4" s="1" customFormat="1" x14ac:dyDescent="0.65">
      <c r="B304" s="4" t="s">
        <v>523</v>
      </c>
      <c r="C304" s="4" t="s">
        <v>524</v>
      </c>
      <c r="D304" s="3" t="e">
        <f>VLOOKUP(C304,#REF!,1,FALSE)</f>
        <v>#REF!</v>
      </c>
    </row>
    <row r="305" spans="2:4" s="1" customFormat="1" x14ac:dyDescent="0.65">
      <c r="B305" s="4" t="s">
        <v>525</v>
      </c>
      <c r="C305" s="4" t="s">
        <v>526</v>
      </c>
      <c r="D305" s="3" t="e">
        <f>VLOOKUP(C305,#REF!,1,FALSE)</f>
        <v>#REF!</v>
      </c>
    </row>
    <row r="306" spans="2:4" s="1" customFormat="1" x14ac:dyDescent="0.65">
      <c r="B306" s="4" t="s">
        <v>527</v>
      </c>
      <c r="C306" s="4" t="s">
        <v>528</v>
      </c>
      <c r="D306" s="3" t="e">
        <f>VLOOKUP(C306,#REF!,1,FALSE)</f>
        <v>#REF!</v>
      </c>
    </row>
    <row r="307" spans="2:4" s="1" customFormat="1" x14ac:dyDescent="0.65">
      <c r="B307" s="4" t="s">
        <v>529</v>
      </c>
      <c r="C307" s="4" t="s">
        <v>530</v>
      </c>
      <c r="D307" s="3" t="e">
        <f>VLOOKUP(C307,#REF!,1,FALSE)</f>
        <v>#REF!</v>
      </c>
    </row>
    <row r="308" spans="2:4" s="1" customFormat="1" x14ac:dyDescent="0.65">
      <c r="B308" s="4" t="s">
        <v>531</v>
      </c>
      <c r="C308" s="4" t="s">
        <v>532</v>
      </c>
      <c r="D308" s="3" t="e">
        <f>VLOOKUP(C308,#REF!,1,FALSE)</f>
        <v>#REF!</v>
      </c>
    </row>
    <row r="309" spans="2:4" s="1" customFormat="1" x14ac:dyDescent="0.65">
      <c r="B309" s="4" t="s">
        <v>533</v>
      </c>
      <c r="C309" s="4" t="s">
        <v>534</v>
      </c>
      <c r="D309" s="3" t="e">
        <f>VLOOKUP(C309,#REF!,1,FALSE)</f>
        <v>#REF!</v>
      </c>
    </row>
    <row r="310" spans="2:4" s="1" customFormat="1" x14ac:dyDescent="0.65">
      <c r="B310" s="4" t="s">
        <v>535</v>
      </c>
      <c r="C310" s="4" t="s">
        <v>536</v>
      </c>
      <c r="D310" s="3" t="e">
        <f>VLOOKUP(C310,#REF!,1,FALSE)</f>
        <v>#REF!</v>
      </c>
    </row>
    <row r="311" spans="2:4" s="1" customFormat="1" x14ac:dyDescent="0.65">
      <c r="B311" s="4" t="s">
        <v>537</v>
      </c>
      <c r="C311" s="4" t="s">
        <v>538</v>
      </c>
      <c r="D311" s="3" t="e">
        <f>VLOOKUP(C311,#REF!,1,FALSE)</f>
        <v>#REF!</v>
      </c>
    </row>
    <row r="312" spans="2:4" s="1" customFormat="1" x14ac:dyDescent="0.65">
      <c r="B312" s="4" t="s">
        <v>539</v>
      </c>
      <c r="C312" s="4" t="s">
        <v>540</v>
      </c>
      <c r="D312" s="3" t="e">
        <f>VLOOKUP(C312,#REF!,1,FALSE)</f>
        <v>#REF!</v>
      </c>
    </row>
    <row r="313" spans="2:4" s="1" customFormat="1" x14ac:dyDescent="0.65">
      <c r="B313" s="4" t="s">
        <v>541</v>
      </c>
      <c r="C313" s="4" t="s">
        <v>542</v>
      </c>
      <c r="D313" s="3" t="e">
        <f>VLOOKUP(C313,#REF!,1,FALSE)</f>
        <v>#REF!</v>
      </c>
    </row>
    <row r="314" spans="2:4" s="1" customFormat="1" x14ac:dyDescent="0.65">
      <c r="B314" s="4" t="s">
        <v>543</v>
      </c>
      <c r="C314" s="4" t="s">
        <v>544</v>
      </c>
      <c r="D314" s="3" t="e">
        <f>VLOOKUP(C314,#REF!,1,FALSE)</f>
        <v>#REF!</v>
      </c>
    </row>
    <row r="315" spans="2:4" s="1" customFormat="1" x14ac:dyDescent="0.65">
      <c r="B315" s="4" t="s">
        <v>545</v>
      </c>
      <c r="C315" s="4" t="s">
        <v>546</v>
      </c>
      <c r="D315" s="3" t="e">
        <f>VLOOKUP(C315,#REF!,1,FALSE)</f>
        <v>#REF!</v>
      </c>
    </row>
    <row r="316" spans="2:4" s="1" customFormat="1" x14ac:dyDescent="0.65">
      <c r="B316" s="4" t="s">
        <v>547</v>
      </c>
      <c r="C316" s="4" t="s">
        <v>548</v>
      </c>
      <c r="D316" s="3" t="e">
        <f>VLOOKUP(C316,#REF!,1,FALSE)</f>
        <v>#REF!</v>
      </c>
    </row>
    <row r="317" spans="2:4" s="1" customFormat="1" x14ac:dyDescent="0.65">
      <c r="B317" s="4" t="s">
        <v>549</v>
      </c>
      <c r="C317" s="4" t="s">
        <v>550</v>
      </c>
      <c r="D317" s="3" t="e">
        <f>VLOOKUP(C317,#REF!,1,FALSE)</f>
        <v>#REF!</v>
      </c>
    </row>
    <row r="318" spans="2:4" s="1" customFormat="1" x14ac:dyDescent="0.65">
      <c r="B318" s="4" t="s">
        <v>551</v>
      </c>
      <c r="C318" s="4" t="s">
        <v>552</v>
      </c>
      <c r="D318" s="3" t="e">
        <f>VLOOKUP(C318,#REF!,1,FALSE)</f>
        <v>#REF!</v>
      </c>
    </row>
    <row r="319" spans="2:4" s="1" customFormat="1" x14ac:dyDescent="0.65">
      <c r="B319" s="4" t="s">
        <v>553</v>
      </c>
      <c r="C319" s="4" t="s">
        <v>554</v>
      </c>
      <c r="D319" s="3" t="e">
        <f>VLOOKUP(C319,#REF!,1,FALSE)</f>
        <v>#REF!</v>
      </c>
    </row>
    <row r="320" spans="2:4" s="1" customFormat="1" x14ac:dyDescent="0.65">
      <c r="B320" s="4" t="s">
        <v>555</v>
      </c>
      <c r="C320" s="4" t="s">
        <v>556</v>
      </c>
      <c r="D320" s="3" t="e">
        <f>VLOOKUP(C320,#REF!,1,FALSE)</f>
        <v>#REF!</v>
      </c>
    </row>
    <row r="321" spans="2:4" s="1" customFormat="1" x14ac:dyDescent="0.65">
      <c r="B321" s="4" t="s">
        <v>557</v>
      </c>
      <c r="C321" s="4" t="s">
        <v>558</v>
      </c>
      <c r="D321" s="3" t="e">
        <f>VLOOKUP(C321,#REF!,1,FALSE)</f>
        <v>#REF!</v>
      </c>
    </row>
    <row r="322" spans="2:4" s="1" customFormat="1" x14ac:dyDescent="0.65">
      <c r="B322" s="4" t="s">
        <v>559</v>
      </c>
      <c r="C322" s="4" t="s">
        <v>560</v>
      </c>
      <c r="D322" s="3" t="e">
        <f>VLOOKUP(C322,#REF!,1,FALSE)</f>
        <v>#REF!</v>
      </c>
    </row>
    <row r="323" spans="2:4" s="1" customFormat="1" x14ac:dyDescent="0.65">
      <c r="B323" s="4" t="s">
        <v>561</v>
      </c>
      <c r="C323" s="4" t="s">
        <v>562</v>
      </c>
      <c r="D323" s="3" t="e">
        <f>VLOOKUP(C323,#REF!,1,FALSE)</f>
        <v>#REF!</v>
      </c>
    </row>
    <row r="324" spans="2:4" s="1" customFormat="1" x14ac:dyDescent="0.65">
      <c r="B324" s="4" t="s">
        <v>563</v>
      </c>
      <c r="C324" s="4" t="s">
        <v>564</v>
      </c>
      <c r="D324" s="3" t="e">
        <f>VLOOKUP(C324,#REF!,1,FALSE)</f>
        <v>#REF!</v>
      </c>
    </row>
    <row r="325" spans="2:4" s="1" customFormat="1" x14ac:dyDescent="0.65">
      <c r="B325" s="4" t="s">
        <v>565</v>
      </c>
      <c r="C325" s="4" t="s">
        <v>566</v>
      </c>
      <c r="D325" s="3" t="e">
        <f>VLOOKUP(C325,#REF!,1,FALSE)</f>
        <v>#REF!</v>
      </c>
    </row>
    <row r="326" spans="2:4" s="1" customFormat="1" x14ac:dyDescent="0.65">
      <c r="B326" s="4" t="s">
        <v>567</v>
      </c>
      <c r="C326" s="4" t="s">
        <v>568</v>
      </c>
      <c r="D326" s="3" t="e">
        <f>VLOOKUP(C326,#REF!,1,FALSE)</f>
        <v>#REF!</v>
      </c>
    </row>
    <row r="327" spans="2:4" s="1" customFormat="1" x14ac:dyDescent="0.65">
      <c r="B327" s="4" t="s">
        <v>569</v>
      </c>
      <c r="C327" s="4" t="s">
        <v>570</v>
      </c>
      <c r="D327" s="3" t="e">
        <f>VLOOKUP(C327,#REF!,1,FALSE)</f>
        <v>#REF!</v>
      </c>
    </row>
    <row r="328" spans="2:4" s="1" customFormat="1" x14ac:dyDescent="0.65">
      <c r="B328" s="4" t="s">
        <v>571</v>
      </c>
      <c r="C328" s="4" t="s">
        <v>572</v>
      </c>
      <c r="D328" s="3" t="e">
        <f>VLOOKUP(C328,#REF!,1,FALSE)</f>
        <v>#REF!</v>
      </c>
    </row>
    <row r="329" spans="2:4" s="1" customFormat="1" x14ac:dyDescent="0.65">
      <c r="B329" s="4" t="s">
        <v>573</v>
      </c>
      <c r="C329" s="4" t="s">
        <v>574</v>
      </c>
      <c r="D329" s="3" t="e">
        <f>VLOOKUP(C329,#REF!,1,FALSE)</f>
        <v>#REF!</v>
      </c>
    </row>
    <row r="330" spans="2:4" s="1" customFormat="1" x14ac:dyDescent="0.65">
      <c r="B330" s="4" t="s">
        <v>575</v>
      </c>
      <c r="C330" s="4" t="s">
        <v>576</v>
      </c>
      <c r="D330" s="3" t="e">
        <f>VLOOKUP(C330,#REF!,1,FALSE)</f>
        <v>#REF!</v>
      </c>
    </row>
    <row r="331" spans="2:4" s="1" customFormat="1" x14ac:dyDescent="0.65">
      <c r="B331" s="4" t="s">
        <v>577</v>
      </c>
      <c r="C331" s="4" t="s">
        <v>578</v>
      </c>
      <c r="D331" s="3" t="e">
        <f>VLOOKUP(C331,#REF!,1,FALSE)</f>
        <v>#REF!</v>
      </c>
    </row>
    <row r="332" spans="2:4" s="1" customFormat="1" x14ac:dyDescent="0.65">
      <c r="B332" s="4" t="s">
        <v>579</v>
      </c>
      <c r="C332" s="4" t="s">
        <v>580</v>
      </c>
      <c r="D332" s="3" t="e">
        <f>VLOOKUP(C332,#REF!,1,FALSE)</f>
        <v>#REF!</v>
      </c>
    </row>
    <row r="333" spans="2:4" s="1" customFormat="1" x14ac:dyDescent="0.65">
      <c r="B333" s="4" t="s">
        <v>581</v>
      </c>
      <c r="C333" s="4" t="s">
        <v>582</v>
      </c>
      <c r="D333" s="3" t="e">
        <f>VLOOKUP(C333,#REF!,1,FALSE)</f>
        <v>#REF!</v>
      </c>
    </row>
    <row r="334" spans="2:4" s="1" customFormat="1" x14ac:dyDescent="0.65">
      <c r="B334" s="4" t="s">
        <v>583</v>
      </c>
      <c r="C334" s="4" t="s">
        <v>584</v>
      </c>
      <c r="D334" s="3" t="e">
        <f>VLOOKUP(C334,#REF!,1,FALSE)</f>
        <v>#REF!</v>
      </c>
    </row>
    <row r="335" spans="2:4" s="1" customFormat="1" x14ac:dyDescent="0.65">
      <c r="B335" s="4" t="s">
        <v>585</v>
      </c>
      <c r="C335" s="4" t="s">
        <v>586</v>
      </c>
      <c r="D335" s="3" t="e">
        <f>VLOOKUP(C335,#REF!,1,FALSE)</f>
        <v>#REF!</v>
      </c>
    </row>
    <row r="336" spans="2:4" s="1" customFormat="1" x14ac:dyDescent="0.65">
      <c r="B336" s="4" t="s">
        <v>587</v>
      </c>
      <c r="C336" s="4" t="s">
        <v>588</v>
      </c>
      <c r="D336" s="3" t="e">
        <f>VLOOKUP(C336,#REF!,1,FALSE)</f>
        <v>#REF!</v>
      </c>
    </row>
    <row r="337" spans="2:4" s="1" customFormat="1" x14ac:dyDescent="0.65">
      <c r="B337" s="4" t="s">
        <v>589</v>
      </c>
      <c r="C337" s="4" t="s">
        <v>590</v>
      </c>
      <c r="D337" s="3" t="e">
        <f>VLOOKUP(C337,#REF!,1,FALSE)</f>
        <v>#REF!</v>
      </c>
    </row>
    <row r="338" spans="2:4" s="1" customFormat="1" x14ac:dyDescent="0.65">
      <c r="B338" s="4" t="s">
        <v>591</v>
      </c>
      <c r="C338" s="4" t="s">
        <v>592</v>
      </c>
      <c r="D338" s="3" t="e">
        <f>VLOOKUP(C338,#REF!,1,FALSE)</f>
        <v>#REF!</v>
      </c>
    </row>
    <row r="339" spans="2:4" s="1" customFormat="1" x14ac:dyDescent="0.65">
      <c r="B339" s="4" t="s">
        <v>593</v>
      </c>
      <c r="C339" s="4" t="s">
        <v>594</v>
      </c>
      <c r="D339" s="3" t="e">
        <f>VLOOKUP(C339,#REF!,1,FALSE)</f>
        <v>#REF!</v>
      </c>
    </row>
    <row r="340" spans="2:4" s="1" customFormat="1" x14ac:dyDescent="0.65">
      <c r="B340" s="4" t="s">
        <v>595</v>
      </c>
      <c r="C340" s="4" t="s">
        <v>596</v>
      </c>
      <c r="D340" s="3" t="e">
        <f>VLOOKUP(C340,#REF!,1,FALSE)</f>
        <v>#REF!</v>
      </c>
    </row>
    <row r="341" spans="2:4" s="1" customFormat="1" x14ac:dyDescent="0.65">
      <c r="B341" s="4" t="s">
        <v>597</v>
      </c>
      <c r="C341" s="4" t="s">
        <v>598</v>
      </c>
      <c r="D341" s="3" t="e">
        <f>VLOOKUP(C341,#REF!,1,FALSE)</f>
        <v>#REF!</v>
      </c>
    </row>
    <row r="342" spans="2:4" s="1" customFormat="1" x14ac:dyDescent="0.65">
      <c r="B342" s="4" t="s">
        <v>599</v>
      </c>
      <c r="C342" s="4" t="s">
        <v>600</v>
      </c>
      <c r="D342" s="3" t="e">
        <f>VLOOKUP(C342,#REF!,1,FALSE)</f>
        <v>#REF!</v>
      </c>
    </row>
    <row r="343" spans="2:4" s="1" customFormat="1" x14ac:dyDescent="0.65">
      <c r="B343" s="4" t="s">
        <v>601</v>
      </c>
      <c r="C343" s="4" t="s">
        <v>602</v>
      </c>
      <c r="D343" s="3" t="e">
        <f>VLOOKUP(C343,#REF!,1,FALSE)</f>
        <v>#REF!</v>
      </c>
    </row>
    <row r="344" spans="2:4" s="1" customFormat="1" x14ac:dyDescent="0.65">
      <c r="B344" s="4" t="s">
        <v>603</v>
      </c>
      <c r="C344" s="4" t="s">
        <v>604</v>
      </c>
      <c r="D344" s="3" t="e">
        <f>VLOOKUP(C344,#REF!,1,FALSE)</f>
        <v>#REF!</v>
      </c>
    </row>
    <row r="345" spans="2:4" s="1" customFormat="1" x14ac:dyDescent="0.65">
      <c r="B345" s="4" t="s">
        <v>605</v>
      </c>
      <c r="C345" s="4" t="s">
        <v>606</v>
      </c>
      <c r="D345" s="3" t="e">
        <f>VLOOKUP(C345,#REF!,1,FALSE)</f>
        <v>#REF!</v>
      </c>
    </row>
    <row r="346" spans="2:4" s="1" customFormat="1" x14ac:dyDescent="0.65">
      <c r="B346" s="4" t="s">
        <v>607</v>
      </c>
      <c r="C346" s="4" t="s">
        <v>608</v>
      </c>
      <c r="D346" s="3" t="e">
        <f>VLOOKUP(C346,#REF!,1,FALSE)</f>
        <v>#REF!</v>
      </c>
    </row>
    <row r="347" spans="2:4" s="1" customFormat="1" x14ac:dyDescent="0.65">
      <c r="B347" s="4" t="s">
        <v>609</v>
      </c>
      <c r="C347" s="4" t="s">
        <v>610</v>
      </c>
      <c r="D347" s="3" t="e">
        <f>VLOOKUP(C347,#REF!,1,FALSE)</f>
        <v>#REF!</v>
      </c>
    </row>
    <row r="348" spans="2:4" s="1" customFormat="1" x14ac:dyDescent="0.65">
      <c r="B348" s="4" t="s">
        <v>611</v>
      </c>
      <c r="C348" s="4" t="s">
        <v>612</v>
      </c>
      <c r="D348" s="3" t="e">
        <f>VLOOKUP(C348,#REF!,1,FALSE)</f>
        <v>#REF!</v>
      </c>
    </row>
    <row r="349" spans="2:4" s="1" customFormat="1" x14ac:dyDescent="0.65">
      <c r="B349" s="4" t="s">
        <v>613</v>
      </c>
      <c r="C349" s="4" t="s">
        <v>614</v>
      </c>
      <c r="D349" s="3" t="e">
        <f>VLOOKUP(C349,#REF!,1,FALSE)</f>
        <v>#REF!</v>
      </c>
    </row>
    <row r="350" spans="2:4" s="1" customFormat="1" x14ac:dyDescent="0.65">
      <c r="B350" s="4" t="s">
        <v>615</v>
      </c>
      <c r="C350" s="4" t="s">
        <v>616</v>
      </c>
      <c r="D350" s="3" t="e">
        <f>VLOOKUP(C350,#REF!,1,FALSE)</f>
        <v>#REF!</v>
      </c>
    </row>
    <row r="351" spans="2:4" s="1" customFormat="1" x14ac:dyDescent="0.65">
      <c r="B351" s="4" t="s">
        <v>617</v>
      </c>
      <c r="C351" s="4" t="s">
        <v>618</v>
      </c>
      <c r="D351" s="3" t="e">
        <f>VLOOKUP(C351,#REF!,1,FALSE)</f>
        <v>#REF!</v>
      </c>
    </row>
    <row r="352" spans="2:4" s="1" customFormat="1" x14ac:dyDescent="0.65">
      <c r="B352" s="4" t="s">
        <v>619</v>
      </c>
      <c r="C352" s="4" t="s">
        <v>620</v>
      </c>
      <c r="D352" s="3" t="e">
        <f>VLOOKUP(C352,#REF!,1,FALSE)</f>
        <v>#REF!</v>
      </c>
    </row>
    <row r="353" spans="2:4" s="1" customFormat="1" x14ac:dyDescent="0.65">
      <c r="B353" s="4" t="s">
        <v>621</v>
      </c>
      <c r="C353" s="4" t="s">
        <v>622</v>
      </c>
      <c r="D353" s="3" t="e">
        <f>VLOOKUP(C353,#REF!,1,FALSE)</f>
        <v>#REF!</v>
      </c>
    </row>
    <row r="354" spans="2:4" s="1" customFormat="1" x14ac:dyDescent="0.65">
      <c r="B354" s="4" t="s">
        <v>623</v>
      </c>
      <c r="C354" s="4" t="s">
        <v>624</v>
      </c>
      <c r="D354" s="3" t="e">
        <f>VLOOKUP(C354,#REF!,1,FALSE)</f>
        <v>#REF!</v>
      </c>
    </row>
    <row r="355" spans="2:4" s="1" customFormat="1" x14ac:dyDescent="0.65">
      <c r="B355" s="4" t="s">
        <v>625</v>
      </c>
      <c r="C355" s="4" t="s">
        <v>626</v>
      </c>
      <c r="D355" s="3" t="e">
        <f>VLOOKUP(C355,#REF!,1,FALSE)</f>
        <v>#REF!</v>
      </c>
    </row>
    <row r="356" spans="2:4" s="1" customFormat="1" x14ac:dyDescent="0.65">
      <c r="B356" s="4" t="s">
        <v>627</v>
      </c>
      <c r="C356" s="4" t="s">
        <v>628</v>
      </c>
      <c r="D356" s="3" t="e">
        <f>VLOOKUP(C356,#REF!,1,FALSE)</f>
        <v>#REF!</v>
      </c>
    </row>
    <row r="357" spans="2:4" s="1" customFormat="1" x14ac:dyDescent="0.65">
      <c r="B357" s="4" t="s">
        <v>629</v>
      </c>
      <c r="C357" s="4" t="s">
        <v>630</v>
      </c>
      <c r="D357" s="3" t="e">
        <f>VLOOKUP(C357,#REF!,1,FALSE)</f>
        <v>#REF!</v>
      </c>
    </row>
    <row r="358" spans="2:4" s="1" customFormat="1" x14ac:dyDescent="0.65">
      <c r="B358" s="4" t="s">
        <v>631</v>
      </c>
      <c r="C358" s="4" t="s">
        <v>632</v>
      </c>
      <c r="D358" s="3" t="e">
        <f>VLOOKUP(C358,#REF!,1,FALSE)</f>
        <v>#REF!</v>
      </c>
    </row>
    <row r="359" spans="2:4" s="1" customFormat="1" x14ac:dyDescent="0.65">
      <c r="B359" s="4" t="s">
        <v>633</v>
      </c>
      <c r="C359" s="4" t="s">
        <v>634</v>
      </c>
      <c r="D359" s="3" t="e">
        <f>VLOOKUP(C359,#REF!,1,FALSE)</f>
        <v>#REF!</v>
      </c>
    </row>
    <row r="360" spans="2:4" s="1" customFormat="1" x14ac:dyDescent="0.65">
      <c r="B360" s="4" t="s">
        <v>635</v>
      </c>
      <c r="C360" s="4" t="s">
        <v>636</v>
      </c>
      <c r="D360" s="3" t="e">
        <f>VLOOKUP(C360,#REF!,1,FALSE)</f>
        <v>#REF!</v>
      </c>
    </row>
    <row r="361" spans="2:4" s="1" customFormat="1" x14ac:dyDescent="0.65">
      <c r="B361" s="4" t="s">
        <v>637</v>
      </c>
      <c r="C361" s="4" t="s">
        <v>638</v>
      </c>
      <c r="D361" s="3" t="e">
        <f>VLOOKUP(C361,#REF!,1,FALSE)</f>
        <v>#REF!</v>
      </c>
    </row>
    <row r="362" spans="2:4" s="1" customFormat="1" x14ac:dyDescent="0.65">
      <c r="B362" s="4" t="s">
        <v>639</v>
      </c>
      <c r="C362" s="4" t="s">
        <v>640</v>
      </c>
      <c r="D362" s="3" t="e">
        <f>VLOOKUP(C362,#REF!,1,FALSE)</f>
        <v>#REF!</v>
      </c>
    </row>
    <row r="363" spans="2:4" s="1" customFormat="1" x14ac:dyDescent="0.65">
      <c r="B363" s="4" t="s">
        <v>641</v>
      </c>
      <c r="C363" s="4" t="s">
        <v>642</v>
      </c>
      <c r="D363" s="3" t="e">
        <f>VLOOKUP(C363,#REF!,1,FALSE)</f>
        <v>#REF!</v>
      </c>
    </row>
    <row r="364" spans="2:4" s="1" customFormat="1" x14ac:dyDescent="0.65">
      <c r="B364" s="4" t="s">
        <v>643</v>
      </c>
      <c r="C364" s="4" t="s">
        <v>644</v>
      </c>
      <c r="D364" s="3" t="e">
        <f>VLOOKUP(C364,#REF!,1,FALSE)</f>
        <v>#REF!</v>
      </c>
    </row>
    <row r="365" spans="2:4" s="1" customFormat="1" x14ac:dyDescent="0.65">
      <c r="B365" s="4" t="s">
        <v>645</v>
      </c>
      <c r="C365" s="4" t="s">
        <v>646</v>
      </c>
      <c r="D365" s="3" t="e">
        <f>VLOOKUP(C365,#REF!,1,FALSE)</f>
        <v>#REF!</v>
      </c>
    </row>
    <row r="366" spans="2:4" s="1" customFormat="1" x14ac:dyDescent="0.65">
      <c r="B366" s="4" t="s">
        <v>647</v>
      </c>
      <c r="C366" s="4" t="s">
        <v>648</v>
      </c>
      <c r="D366" s="3" t="e">
        <f>VLOOKUP(C366,#REF!,1,FALSE)</f>
        <v>#REF!</v>
      </c>
    </row>
    <row r="367" spans="2:4" s="1" customFormat="1" x14ac:dyDescent="0.65">
      <c r="B367" s="4" t="s">
        <v>649</v>
      </c>
      <c r="C367" s="4" t="s">
        <v>650</v>
      </c>
      <c r="D367" s="3" t="e">
        <f>VLOOKUP(C367,#REF!,1,FALSE)</f>
        <v>#REF!</v>
      </c>
    </row>
    <row r="368" spans="2:4" s="1" customFormat="1" x14ac:dyDescent="0.65">
      <c r="B368" s="4" t="s">
        <v>651</v>
      </c>
      <c r="C368" s="4" t="s">
        <v>652</v>
      </c>
      <c r="D368" s="3" t="e">
        <f>VLOOKUP(C368,#REF!,1,FALSE)</f>
        <v>#REF!</v>
      </c>
    </row>
    <row r="369" spans="2:4" s="1" customFormat="1" x14ac:dyDescent="0.65">
      <c r="B369" s="4" t="s">
        <v>653</v>
      </c>
      <c r="C369" s="4" t="s">
        <v>654</v>
      </c>
      <c r="D369" s="3" t="e">
        <f>VLOOKUP(C369,#REF!,1,FALSE)</f>
        <v>#REF!</v>
      </c>
    </row>
    <row r="370" spans="2:4" s="1" customFormat="1" x14ac:dyDescent="0.65">
      <c r="B370" s="4" t="s">
        <v>655</v>
      </c>
      <c r="C370" s="4" t="s">
        <v>656</v>
      </c>
      <c r="D370" s="3" t="e">
        <f>VLOOKUP(C370,#REF!,1,FALSE)</f>
        <v>#REF!</v>
      </c>
    </row>
    <row r="371" spans="2:4" s="1" customFormat="1" x14ac:dyDescent="0.65">
      <c r="B371" s="4" t="s">
        <v>657</v>
      </c>
      <c r="C371" s="4" t="s">
        <v>658</v>
      </c>
      <c r="D371" s="3" t="e">
        <f>VLOOKUP(C371,#REF!,1,FALSE)</f>
        <v>#REF!</v>
      </c>
    </row>
    <row r="372" spans="2:4" s="1" customFormat="1" x14ac:dyDescent="0.65">
      <c r="B372" s="4" t="s">
        <v>659</v>
      </c>
      <c r="C372" s="4" t="s">
        <v>660</v>
      </c>
      <c r="D372" s="3" t="e">
        <f>VLOOKUP(C372,#REF!,1,FALSE)</f>
        <v>#REF!</v>
      </c>
    </row>
    <row r="373" spans="2:4" s="1" customFormat="1" x14ac:dyDescent="0.65">
      <c r="B373" s="4" t="s">
        <v>661</v>
      </c>
      <c r="C373" s="4" t="s">
        <v>662</v>
      </c>
      <c r="D373" s="3" t="e">
        <f>VLOOKUP(C373,#REF!,1,FALSE)</f>
        <v>#REF!</v>
      </c>
    </row>
    <row r="374" spans="2:4" s="1" customFormat="1" x14ac:dyDescent="0.65">
      <c r="B374" s="4" t="s">
        <v>663</v>
      </c>
      <c r="C374" s="4" t="s">
        <v>664</v>
      </c>
      <c r="D374" s="3" t="e">
        <f>VLOOKUP(C374,#REF!,1,FALSE)</f>
        <v>#REF!</v>
      </c>
    </row>
    <row r="375" spans="2:4" s="1" customFormat="1" x14ac:dyDescent="0.65">
      <c r="B375" s="4" t="s">
        <v>665</v>
      </c>
      <c r="C375" s="4" t="s">
        <v>666</v>
      </c>
      <c r="D375" s="3" t="e">
        <f>VLOOKUP(C375,#REF!,1,FALSE)</f>
        <v>#REF!</v>
      </c>
    </row>
    <row r="376" spans="2:4" s="1" customFormat="1" x14ac:dyDescent="0.65">
      <c r="B376" s="4" t="s">
        <v>667</v>
      </c>
      <c r="C376" s="4" t="s">
        <v>668</v>
      </c>
      <c r="D376" s="3" t="e">
        <f>VLOOKUP(C376,#REF!,1,FALSE)</f>
        <v>#REF!</v>
      </c>
    </row>
    <row r="377" spans="2:4" s="1" customFormat="1" x14ac:dyDescent="0.65">
      <c r="B377" s="4" t="s">
        <v>669</v>
      </c>
      <c r="C377" s="4" t="s">
        <v>670</v>
      </c>
      <c r="D377" s="3" t="e">
        <f>VLOOKUP(C377,#REF!,1,FALSE)</f>
        <v>#REF!</v>
      </c>
    </row>
    <row r="378" spans="2:4" s="1" customFormat="1" x14ac:dyDescent="0.65">
      <c r="B378" s="4" t="s">
        <v>671</v>
      </c>
      <c r="C378" s="4" t="s">
        <v>672</v>
      </c>
      <c r="D378" s="3" t="e">
        <f>VLOOKUP(C378,#REF!,1,FALSE)</f>
        <v>#REF!</v>
      </c>
    </row>
    <row r="379" spans="2:4" s="1" customFormat="1" x14ac:dyDescent="0.65">
      <c r="B379" s="4" t="s">
        <v>673</v>
      </c>
      <c r="C379" s="4" t="s">
        <v>674</v>
      </c>
      <c r="D379" s="3" t="e">
        <f>VLOOKUP(C379,#REF!,1,FALSE)</f>
        <v>#REF!</v>
      </c>
    </row>
    <row r="380" spans="2:4" s="1" customFormat="1" x14ac:dyDescent="0.65">
      <c r="B380" s="4" t="s">
        <v>675</v>
      </c>
      <c r="C380" s="4" t="s">
        <v>676</v>
      </c>
      <c r="D380" s="3" t="e">
        <f>VLOOKUP(C380,#REF!,1,FALSE)</f>
        <v>#REF!</v>
      </c>
    </row>
    <row r="381" spans="2:4" s="1" customFormat="1" x14ac:dyDescent="0.65">
      <c r="B381" s="4" t="s">
        <v>677</v>
      </c>
      <c r="C381" s="4" t="s">
        <v>678</v>
      </c>
      <c r="D381" s="3" t="e">
        <f>VLOOKUP(C381,#REF!,1,FALSE)</f>
        <v>#REF!</v>
      </c>
    </row>
    <row r="382" spans="2:4" s="1" customFormat="1" x14ac:dyDescent="0.65">
      <c r="B382" s="4" t="s">
        <v>679</v>
      </c>
      <c r="C382" s="4" t="s">
        <v>680</v>
      </c>
      <c r="D382" s="3" t="e">
        <f>VLOOKUP(C382,#REF!,1,FALSE)</f>
        <v>#REF!</v>
      </c>
    </row>
    <row r="383" spans="2:4" s="1" customFormat="1" x14ac:dyDescent="0.65">
      <c r="B383" s="4" t="s">
        <v>681</v>
      </c>
      <c r="C383" s="4" t="s">
        <v>682</v>
      </c>
      <c r="D383" s="3" t="e">
        <f>VLOOKUP(C383,#REF!,1,FALSE)</f>
        <v>#REF!</v>
      </c>
    </row>
    <row r="384" spans="2:4" s="1" customFormat="1" x14ac:dyDescent="0.65">
      <c r="B384" s="4" t="s">
        <v>683</v>
      </c>
      <c r="C384" s="4" t="s">
        <v>684</v>
      </c>
      <c r="D384" s="3" t="e">
        <f>VLOOKUP(C384,#REF!,1,FALSE)</f>
        <v>#REF!</v>
      </c>
    </row>
    <row r="385" spans="2:4" s="1" customFormat="1" x14ac:dyDescent="0.65">
      <c r="B385" s="4" t="s">
        <v>685</v>
      </c>
      <c r="C385" s="4" t="s">
        <v>686</v>
      </c>
      <c r="D385" s="3" t="e">
        <f>VLOOKUP(C385,#REF!,1,FALSE)</f>
        <v>#REF!</v>
      </c>
    </row>
    <row r="386" spans="2:4" s="1" customFormat="1" x14ac:dyDescent="0.65">
      <c r="B386" s="4" t="s">
        <v>687</v>
      </c>
      <c r="C386" s="4" t="s">
        <v>688</v>
      </c>
      <c r="D386" s="3" t="e">
        <f>VLOOKUP(C386,#REF!,1,FALSE)</f>
        <v>#REF!</v>
      </c>
    </row>
    <row r="387" spans="2:4" s="1" customFormat="1" x14ac:dyDescent="0.65">
      <c r="B387" s="4" t="s">
        <v>689</v>
      </c>
      <c r="C387" s="4" t="s">
        <v>690</v>
      </c>
      <c r="D387" s="3" t="e">
        <f>VLOOKUP(C387,#REF!,1,FALSE)</f>
        <v>#REF!</v>
      </c>
    </row>
    <row r="388" spans="2:4" s="1" customFormat="1" x14ac:dyDescent="0.65">
      <c r="B388" s="4" t="s">
        <v>691</v>
      </c>
      <c r="C388" s="4" t="s">
        <v>692</v>
      </c>
      <c r="D388" s="3" t="e">
        <f>VLOOKUP(C388,#REF!,1,FALSE)</f>
        <v>#REF!</v>
      </c>
    </row>
    <row r="389" spans="2:4" s="1" customFormat="1" x14ac:dyDescent="0.65">
      <c r="B389" s="4" t="s">
        <v>693</v>
      </c>
      <c r="C389" s="4" t="s">
        <v>694</v>
      </c>
      <c r="D389" s="3" t="e">
        <f>VLOOKUP(C389,#REF!,1,FALSE)</f>
        <v>#REF!</v>
      </c>
    </row>
    <row r="390" spans="2:4" s="1" customFormat="1" x14ac:dyDescent="0.65">
      <c r="B390" s="4" t="s">
        <v>695</v>
      </c>
      <c r="C390" s="4" t="s">
        <v>696</v>
      </c>
      <c r="D390" s="3" t="e">
        <f>VLOOKUP(C390,#REF!,1,FALSE)</f>
        <v>#REF!</v>
      </c>
    </row>
    <row r="391" spans="2:4" s="1" customFormat="1" x14ac:dyDescent="0.65">
      <c r="B391" s="4" t="s">
        <v>697</v>
      </c>
      <c r="C391" s="4" t="s">
        <v>698</v>
      </c>
      <c r="D391" s="3" t="e">
        <f>VLOOKUP(C391,#REF!,1,FALSE)</f>
        <v>#REF!</v>
      </c>
    </row>
    <row r="392" spans="2:4" s="1" customFormat="1" x14ac:dyDescent="0.65">
      <c r="B392" s="4" t="s">
        <v>699</v>
      </c>
      <c r="C392" s="4" t="s">
        <v>700</v>
      </c>
      <c r="D392" s="3" t="e">
        <f>VLOOKUP(C392,#REF!,1,FALSE)</f>
        <v>#REF!</v>
      </c>
    </row>
    <row r="393" spans="2:4" s="1" customFormat="1" x14ac:dyDescent="0.65">
      <c r="B393" s="4" t="s">
        <v>701</v>
      </c>
      <c r="C393" s="4" t="s">
        <v>702</v>
      </c>
      <c r="D393" s="3" t="e">
        <f>VLOOKUP(C393,#REF!,1,FALSE)</f>
        <v>#REF!</v>
      </c>
    </row>
    <row r="394" spans="2:4" s="1" customFormat="1" x14ac:dyDescent="0.65">
      <c r="B394" s="4" t="s">
        <v>703</v>
      </c>
      <c r="C394" s="4" t="s">
        <v>704</v>
      </c>
      <c r="D394" s="3" t="e">
        <f>VLOOKUP(C394,#REF!,1,FALSE)</f>
        <v>#REF!</v>
      </c>
    </row>
    <row r="395" spans="2:4" s="1" customFormat="1" x14ac:dyDescent="0.65">
      <c r="B395" s="4" t="s">
        <v>705</v>
      </c>
      <c r="C395" s="4" t="s">
        <v>706</v>
      </c>
      <c r="D395" s="3" t="e">
        <f>VLOOKUP(C395,#REF!,1,FALSE)</f>
        <v>#REF!</v>
      </c>
    </row>
    <row r="396" spans="2:4" s="1" customFormat="1" x14ac:dyDescent="0.65">
      <c r="B396" s="4" t="s">
        <v>707</v>
      </c>
      <c r="C396" s="4" t="s">
        <v>708</v>
      </c>
      <c r="D396" s="3" t="e">
        <f>VLOOKUP(C396,#REF!,1,FALSE)</f>
        <v>#REF!</v>
      </c>
    </row>
    <row r="397" spans="2:4" s="1" customFormat="1" x14ac:dyDescent="0.65">
      <c r="B397" s="4" t="s">
        <v>709</v>
      </c>
      <c r="C397" s="4" t="s">
        <v>710</v>
      </c>
      <c r="D397" s="3" t="e">
        <f>VLOOKUP(C397,#REF!,1,FALSE)</f>
        <v>#REF!</v>
      </c>
    </row>
    <row r="398" spans="2:4" s="1" customFormat="1" x14ac:dyDescent="0.65">
      <c r="B398" s="4" t="s">
        <v>711</v>
      </c>
      <c r="C398" s="4" t="s">
        <v>712</v>
      </c>
      <c r="D398" s="3" t="e">
        <f>VLOOKUP(C398,#REF!,1,FALSE)</f>
        <v>#REF!</v>
      </c>
    </row>
    <row r="399" spans="2:4" s="1" customFormat="1" x14ac:dyDescent="0.65">
      <c r="B399" s="4" t="s">
        <v>713</v>
      </c>
      <c r="C399" s="4" t="s">
        <v>714</v>
      </c>
      <c r="D399" s="3" t="e">
        <f>VLOOKUP(C399,#REF!,1,FALSE)</f>
        <v>#REF!</v>
      </c>
    </row>
    <row r="400" spans="2:4" s="1" customFormat="1" x14ac:dyDescent="0.65">
      <c r="B400" s="4" t="s">
        <v>715</v>
      </c>
      <c r="C400" s="4" t="s">
        <v>716</v>
      </c>
      <c r="D400" s="3" t="e">
        <f>VLOOKUP(C400,#REF!,1,FALSE)</f>
        <v>#REF!</v>
      </c>
    </row>
    <row r="401" spans="2:4" s="1" customFormat="1" x14ac:dyDescent="0.65">
      <c r="B401" s="4" t="s">
        <v>717</v>
      </c>
      <c r="C401" s="4" t="s">
        <v>718</v>
      </c>
      <c r="D401" s="3" t="e">
        <f>VLOOKUP(C401,#REF!,1,FALSE)</f>
        <v>#REF!</v>
      </c>
    </row>
    <row r="402" spans="2:4" s="1" customFormat="1" x14ac:dyDescent="0.65">
      <c r="B402" s="4" t="s">
        <v>719</v>
      </c>
      <c r="C402" s="4" t="s">
        <v>720</v>
      </c>
      <c r="D402" s="3" t="e">
        <f>VLOOKUP(C402,#REF!,1,FALSE)</f>
        <v>#REF!</v>
      </c>
    </row>
    <row r="403" spans="2:4" s="1" customFormat="1" x14ac:dyDescent="0.65">
      <c r="B403" s="4" t="s">
        <v>721</v>
      </c>
      <c r="C403" s="4" t="s">
        <v>722</v>
      </c>
      <c r="D403" s="3" t="e">
        <f>VLOOKUP(C403,#REF!,1,FALSE)</f>
        <v>#REF!</v>
      </c>
    </row>
    <row r="404" spans="2:4" s="1" customFormat="1" x14ac:dyDescent="0.65">
      <c r="B404" s="4" t="s">
        <v>723</v>
      </c>
      <c r="C404" s="4" t="s">
        <v>724</v>
      </c>
      <c r="D404" s="3" t="e">
        <f>VLOOKUP(C404,#REF!,1,FALSE)</f>
        <v>#REF!</v>
      </c>
    </row>
    <row r="405" spans="2:4" s="1" customFormat="1" x14ac:dyDescent="0.65">
      <c r="B405" s="4" t="s">
        <v>725</v>
      </c>
      <c r="C405" s="4" t="s">
        <v>726</v>
      </c>
      <c r="D405" s="3" t="e">
        <f>VLOOKUP(C405,#REF!,1,FALSE)</f>
        <v>#REF!</v>
      </c>
    </row>
    <row r="406" spans="2:4" s="1" customFormat="1" x14ac:dyDescent="0.65">
      <c r="B406" s="4" t="s">
        <v>727</v>
      </c>
      <c r="C406" s="4" t="s">
        <v>728</v>
      </c>
      <c r="D406" s="3" t="e">
        <f>VLOOKUP(C406,#REF!,1,FALSE)</f>
        <v>#REF!</v>
      </c>
    </row>
    <row r="407" spans="2:4" s="1" customFormat="1" x14ac:dyDescent="0.65">
      <c r="B407" s="4" t="s">
        <v>729</v>
      </c>
      <c r="C407" s="4" t="s">
        <v>730</v>
      </c>
      <c r="D407" s="3" t="e">
        <f>VLOOKUP(C407,#REF!,1,FALSE)</f>
        <v>#REF!</v>
      </c>
    </row>
    <row r="408" spans="2:4" s="1" customFormat="1" x14ac:dyDescent="0.65">
      <c r="B408" s="4" t="s">
        <v>731</v>
      </c>
      <c r="C408" s="4" t="s">
        <v>732</v>
      </c>
      <c r="D408" s="3" t="e">
        <f>VLOOKUP(C408,#REF!,1,FALSE)</f>
        <v>#REF!</v>
      </c>
    </row>
    <row r="409" spans="2:4" s="1" customFormat="1" x14ac:dyDescent="0.65">
      <c r="B409" s="4" t="s">
        <v>733</v>
      </c>
      <c r="C409" s="4" t="s">
        <v>734</v>
      </c>
      <c r="D409" s="3" t="e">
        <f>VLOOKUP(C409,#REF!,1,FALSE)</f>
        <v>#REF!</v>
      </c>
    </row>
    <row r="410" spans="2:4" s="1" customFormat="1" x14ac:dyDescent="0.65">
      <c r="B410" s="4" t="s">
        <v>735</v>
      </c>
      <c r="C410" s="4" t="s">
        <v>736</v>
      </c>
      <c r="D410" s="3" t="e">
        <f>VLOOKUP(C410,#REF!,1,FALSE)</f>
        <v>#REF!</v>
      </c>
    </row>
    <row r="411" spans="2:4" s="1" customFormat="1" x14ac:dyDescent="0.65">
      <c r="B411" s="4" t="s">
        <v>737</v>
      </c>
      <c r="C411" s="4" t="s">
        <v>738</v>
      </c>
      <c r="D411" s="3" t="e">
        <f>VLOOKUP(C411,#REF!,1,FALSE)</f>
        <v>#REF!</v>
      </c>
    </row>
    <row r="412" spans="2:4" s="1" customFormat="1" x14ac:dyDescent="0.65">
      <c r="B412" s="4" t="s">
        <v>739</v>
      </c>
      <c r="C412" s="4" t="s">
        <v>740</v>
      </c>
      <c r="D412" s="3" t="e">
        <f>VLOOKUP(C412,#REF!,1,FALSE)</f>
        <v>#REF!</v>
      </c>
    </row>
    <row r="413" spans="2:4" s="1" customFormat="1" x14ac:dyDescent="0.65">
      <c r="B413" s="4" t="s">
        <v>741</v>
      </c>
      <c r="C413" s="4" t="s">
        <v>742</v>
      </c>
      <c r="D413" s="3" t="e">
        <f>VLOOKUP(C413,#REF!,1,FALSE)</f>
        <v>#REF!</v>
      </c>
    </row>
    <row r="414" spans="2:4" s="1" customFormat="1" x14ac:dyDescent="0.65">
      <c r="B414" s="4" t="s">
        <v>743</v>
      </c>
      <c r="C414" s="4" t="s">
        <v>744</v>
      </c>
      <c r="D414" s="3" t="e">
        <f>VLOOKUP(C414,#REF!,1,FALSE)</f>
        <v>#REF!</v>
      </c>
    </row>
    <row r="415" spans="2:4" s="1" customFormat="1" x14ac:dyDescent="0.65">
      <c r="B415" s="4" t="s">
        <v>745</v>
      </c>
      <c r="C415" s="4" t="s">
        <v>746</v>
      </c>
      <c r="D415" s="3" t="e">
        <f>VLOOKUP(C415,#REF!,1,FALSE)</f>
        <v>#REF!</v>
      </c>
    </row>
    <row r="416" spans="2:4" s="1" customFormat="1" x14ac:dyDescent="0.65">
      <c r="B416" s="4" t="s">
        <v>747</v>
      </c>
      <c r="C416" s="4" t="s">
        <v>748</v>
      </c>
      <c r="D416" s="3" t="e">
        <f>VLOOKUP(C416,#REF!,1,FALSE)</f>
        <v>#REF!</v>
      </c>
    </row>
    <row r="417" spans="2:4" s="1" customFormat="1" x14ac:dyDescent="0.65">
      <c r="B417" s="4" t="s">
        <v>749</v>
      </c>
      <c r="C417" s="4" t="s">
        <v>750</v>
      </c>
      <c r="D417" s="3" t="e">
        <f>VLOOKUP(C417,#REF!,1,FALSE)</f>
        <v>#REF!</v>
      </c>
    </row>
    <row r="418" spans="2:4" s="1" customFormat="1" x14ac:dyDescent="0.65">
      <c r="B418" s="4" t="s">
        <v>751</v>
      </c>
      <c r="C418" s="4" t="s">
        <v>752</v>
      </c>
      <c r="D418" s="3" t="e">
        <f>VLOOKUP(C418,#REF!,1,FALSE)</f>
        <v>#REF!</v>
      </c>
    </row>
    <row r="419" spans="2:4" s="1" customFormat="1" x14ac:dyDescent="0.65">
      <c r="B419" s="4" t="s">
        <v>753</v>
      </c>
      <c r="C419" s="4" t="s">
        <v>754</v>
      </c>
      <c r="D419" s="3" t="e">
        <f>VLOOKUP(C419,#REF!,1,FALSE)</f>
        <v>#REF!</v>
      </c>
    </row>
    <row r="420" spans="2:4" s="1" customFormat="1" x14ac:dyDescent="0.65">
      <c r="B420" s="4" t="s">
        <v>755</v>
      </c>
      <c r="C420" s="4" t="s">
        <v>756</v>
      </c>
      <c r="D420" s="3" t="e">
        <f>VLOOKUP(C420,#REF!,1,FALSE)</f>
        <v>#REF!</v>
      </c>
    </row>
    <row r="421" spans="2:4" s="1" customFormat="1" x14ac:dyDescent="0.65">
      <c r="B421" s="4" t="s">
        <v>757</v>
      </c>
      <c r="C421" s="4" t="s">
        <v>758</v>
      </c>
      <c r="D421" s="3" t="e">
        <f>VLOOKUP(C421,#REF!,1,FALSE)</f>
        <v>#REF!</v>
      </c>
    </row>
    <row r="422" spans="2:4" s="1" customFormat="1" x14ac:dyDescent="0.65">
      <c r="B422" s="4" t="s">
        <v>759</v>
      </c>
      <c r="C422" s="4" t="s">
        <v>760</v>
      </c>
      <c r="D422" s="3" t="e">
        <f>VLOOKUP(C422,#REF!,1,FALSE)</f>
        <v>#REF!</v>
      </c>
    </row>
    <row r="423" spans="2:4" s="1" customFormat="1" x14ac:dyDescent="0.65">
      <c r="B423" s="4" t="s">
        <v>761</v>
      </c>
      <c r="C423" s="4" t="s">
        <v>762</v>
      </c>
      <c r="D423" s="3" t="e">
        <f>VLOOKUP(C423,#REF!,1,FALSE)</f>
        <v>#REF!</v>
      </c>
    </row>
    <row r="424" spans="2:4" s="1" customFormat="1" x14ac:dyDescent="0.65">
      <c r="B424" s="4" t="s">
        <v>763</v>
      </c>
      <c r="C424" s="4" t="s">
        <v>764</v>
      </c>
      <c r="D424" s="3" t="e">
        <f>VLOOKUP(C424,#REF!,1,FALSE)</f>
        <v>#REF!</v>
      </c>
    </row>
    <row r="425" spans="2:4" s="1" customFormat="1" x14ac:dyDescent="0.65">
      <c r="B425" s="4" t="s">
        <v>765</v>
      </c>
      <c r="C425" s="4" t="s">
        <v>766</v>
      </c>
      <c r="D425" s="3" t="e">
        <f>VLOOKUP(C425,#REF!,1,FALSE)</f>
        <v>#REF!</v>
      </c>
    </row>
    <row r="426" spans="2:4" s="1" customFormat="1" x14ac:dyDescent="0.65">
      <c r="B426" s="4" t="s">
        <v>767</v>
      </c>
      <c r="C426" s="4" t="s">
        <v>768</v>
      </c>
      <c r="D426" s="3" t="e">
        <f>VLOOKUP(C426,#REF!,1,FALSE)</f>
        <v>#REF!</v>
      </c>
    </row>
    <row r="427" spans="2:4" s="1" customFormat="1" x14ac:dyDescent="0.65">
      <c r="B427" s="4" t="s">
        <v>769</v>
      </c>
      <c r="C427" s="4" t="s">
        <v>770</v>
      </c>
      <c r="D427" s="3" t="e">
        <f>VLOOKUP(C427,#REF!,1,FALSE)</f>
        <v>#REF!</v>
      </c>
    </row>
    <row r="428" spans="2:4" s="1" customFormat="1" x14ac:dyDescent="0.65">
      <c r="B428" s="4" t="s">
        <v>771</v>
      </c>
      <c r="C428" s="4" t="s">
        <v>772</v>
      </c>
      <c r="D428" s="3" t="e">
        <f>VLOOKUP(C428,#REF!,1,FALSE)</f>
        <v>#REF!</v>
      </c>
    </row>
    <row r="429" spans="2:4" s="1" customFormat="1" x14ac:dyDescent="0.65">
      <c r="B429" s="4" t="s">
        <v>773</v>
      </c>
      <c r="C429" s="4" t="s">
        <v>774</v>
      </c>
      <c r="D429" s="3" t="e">
        <f>VLOOKUP(C429,#REF!,1,FALSE)</f>
        <v>#REF!</v>
      </c>
    </row>
    <row r="430" spans="2:4" s="1" customFormat="1" x14ac:dyDescent="0.65">
      <c r="B430" s="4" t="s">
        <v>775</v>
      </c>
      <c r="C430" s="4" t="s">
        <v>776</v>
      </c>
      <c r="D430" s="3" t="e">
        <f>VLOOKUP(C430,#REF!,1,FALSE)</f>
        <v>#REF!</v>
      </c>
    </row>
    <row r="431" spans="2:4" s="1" customFormat="1" x14ac:dyDescent="0.65">
      <c r="B431" s="4" t="s">
        <v>777</v>
      </c>
      <c r="C431" s="4" t="s">
        <v>778</v>
      </c>
      <c r="D431" s="3" t="e">
        <f>VLOOKUP(C431,#REF!,1,FALSE)</f>
        <v>#REF!</v>
      </c>
    </row>
    <row r="432" spans="2:4" s="1" customFormat="1" x14ac:dyDescent="0.65">
      <c r="B432" s="4" t="s">
        <v>779</v>
      </c>
      <c r="C432" s="4" t="s">
        <v>780</v>
      </c>
      <c r="D432" s="3" t="e">
        <f>VLOOKUP(C432,#REF!,1,FALSE)</f>
        <v>#REF!</v>
      </c>
    </row>
    <row r="433" spans="2:4" s="1" customFormat="1" x14ac:dyDescent="0.65">
      <c r="B433" s="4" t="s">
        <v>781</v>
      </c>
      <c r="C433" s="4" t="s">
        <v>782</v>
      </c>
      <c r="D433" s="3" t="e">
        <f>VLOOKUP(C433,#REF!,1,FALSE)</f>
        <v>#REF!</v>
      </c>
    </row>
    <row r="434" spans="2:4" s="1" customFormat="1" x14ac:dyDescent="0.65">
      <c r="B434" s="4" t="s">
        <v>783</v>
      </c>
      <c r="C434" s="4" t="s">
        <v>784</v>
      </c>
      <c r="D434" s="3" t="e">
        <f>VLOOKUP(C434,#REF!,1,FALSE)</f>
        <v>#REF!</v>
      </c>
    </row>
    <row r="435" spans="2:4" s="1" customFormat="1" x14ac:dyDescent="0.65">
      <c r="B435" s="4" t="s">
        <v>785</v>
      </c>
      <c r="C435" s="4" t="s">
        <v>786</v>
      </c>
      <c r="D435" s="3" t="e">
        <f>VLOOKUP(C435,#REF!,1,FALSE)</f>
        <v>#REF!</v>
      </c>
    </row>
    <row r="436" spans="2:4" s="1" customFormat="1" x14ac:dyDescent="0.65">
      <c r="B436" s="4" t="s">
        <v>787</v>
      </c>
      <c r="C436" s="4" t="s">
        <v>788</v>
      </c>
      <c r="D436" s="3" t="e">
        <f>VLOOKUP(C436,#REF!,1,FALSE)</f>
        <v>#REF!</v>
      </c>
    </row>
    <row r="437" spans="2:4" s="1" customFormat="1" x14ac:dyDescent="0.65">
      <c r="B437" s="4" t="s">
        <v>789</v>
      </c>
      <c r="C437" s="4" t="s">
        <v>790</v>
      </c>
      <c r="D437" s="3" t="e">
        <f>VLOOKUP(C437,#REF!,1,FALSE)</f>
        <v>#REF!</v>
      </c>
    </row>
    <row r="438" spans="2:4" s="1" customFormat="1" x14ac:dyDescent="0.65">
      <c r="B438" s="4" t="s">
        <v>791</v>
      </c>
      <c r="C438" s="4" t="s">
        <v>792</v>
      </c>
      <c r="D438" s="3" t="e">
        <f>VLOOKUP(C438,#REF!,1,FALSE)</f>
        <v>#REF!</v>
      </c>
    </row>
    <row r="439" spans="2:4" s="1" customFormat="1" x14ac:dyDescent="0.65">
      <c r="B439" s="4" t="s">
        <v>793</v>
      </c>
      <c r="C439" s="4" t="s">
        <v>794</v>
      </c>
      <c r="D439" s="3" t="e">
        <f>VLOOKUP(C439,#REF!,1,FALSE)</f>
        <v>#REF!</v>
      </c>
    </row>
    <row r="440" spans="2:4" s="1" customFormat="1" x14ac:dyDescent="0.65">
      <c r="B440" s="4" t="s">
        <v>795</v>
      </c>
      <c r="C440" s="4" t="s">
        <v>796</v>
      </c>
      <c r="D440" s="3" t="e">
        <f>VLOOKUP(C440,#REF!,1,FALSE)</f>
        <v>#REF!</v>
      </c>
    </row>
    <row r="441" spans="2:4" s="1" customFormat="1" x14ac:dyDescent="0.65">
      <c r="B441" s="4" t="s">
        <v>797</v>
      </c>
      <c r="C441" s="4" t="s">
        <v>798</v>
      </c>
      <c r="D441" s="3" t="e">
        <f>VLOOKUP(C441,#REF!,1,FALSE)</f>
        <v>#REF!</v>
      </c>
    </row>
    <row r="442" spans="2:4" s="1" customFormat="1" x14ac:dyDescent="0.65">
      <c r="B442" s="4" t="s">
        <v>799</v>
      </c>
      <c r="C442" s="4" t="s">
        <v>800</v>
      </c>
      <c r="D442" s="3" t="e">
        <f>VLOOKUP(C442,#REF!,1,FALSE)</f>
        <v>#REF!</v>
      </c>
    </row>
    <row r="443" spans="2:4" s="1" customFormat="1" x14ac:dyDescent="0.65">
      <c r="B443" s="4" t="s">
        <v>801</v>
      </c>
      <c r="C443" s="4" t="s">
        <v>802</v>
      </c>
      <c r="D443" s="3" t="e">
        <f>VLOOKUP(C443,#REF!,1,FALSE)</f>
        <v>#REF!</v>
      </c>
    </row>
    <row r="444" spans="2:4" s="1" customFormat="1" x14ac:dyDescent="0.65">
      <c r="B444" s="4" t="s">
        <v>803</v>
      </c>
      <c r="C444" s="4" t="s">
        <v>804</v>
      </c>
      <c r="D444" s="3" t="e">
        <f>VLOOKUP(C444,#REF!,1,FALSE)</f>
        <v>#REF!</v>
      </c>
    </row>
    <row r="445" spans="2:4" s="1" customFormat="1" x14ac:dyDescent="0.65">
      <c r="B445" s="4" t="s">
        <v>805</v>
      </c>
      <c r="C445" s="4" t="s">
        <v>806</v>
      </c>
      <c r="D445" s="3" t="e">
        <f>VLOOKUP(C445,#REF!,1,FALSE)</f>
        <v>#REF!</v>
      </c>
    </row>
    <row r="446" spans="2:4" s="1" customFormat="1" x14ac:dyDescent="0.65">
      <c r="B446" s="4" t="s">
        <v>807</v>
      </c>
      <c r="C446" s="4" t="s">
        <v>808</v>
      </c>
      <c r="D446" s="3" t="e">
        <f>VLOOKUP(C446,#REF!,1,FALSE)</f>
        <v>#REF!</v>
      </c>
    </row>
    <row r="447" spans="2:4" s="1" customFormat="1" x14ac:dyDescent="0.65">
      <c r="B447" s="4" t="s">
        <v>809</v>
      </c>
      <c r="C447" s="4" t="s">
        <v>876</v>
      </c>
      <c r="D447" s="3" t="e">
        <f>VLOOKUP(C447,#REF!,1,FALSE)</f>
        <v>#REF!</v>
      </c>
    </row>
    <row r="448" spans="2:4" s="1" customFormat="1" x14ac:dyDescent="0.65">
      <c r="B448" s="4" t="s">
        <v>810</v>
      </c>
      <c r="C448" s="4" t="s">
        <v>811</v>
      </c>
      <c r="D448" s="3" t="e">
        <f>VLOOKUP(C448,#REF!,1,FALSE)</f>
        <v>#REF!</v>
      </c>
    </row>
    <row r="449" spans="2:4" s="1" customFormat="1" x14ac:dyDescent="0.65">
      <c r="B449" s="4" t="s">
        <v>812</v>
      </c>
      <c r="C449" s="4" t="s">
        <v>813</v>
      </c>
      <c r="D449" s="3" t="e">
        <f>VLOOKUP(C449,#REF!,1,FALSE)</f>
        <v>#REF!</v>
      </c>
    </row>
    <row r="450" spans="2:4" s="1" customFormat="1" x14ac:dyDescent="0.65">
      <c r="B450" s="4" t="s">
        <v>814</v>
      </c>
      <c r="C450" s="4" t="s">
        <v>815</v>
      </c>
      <c r="D450" s="3" t="e">
        <f>VLOOKUP(C450,#REF!,1,FALSE)</f>
        <v>#REF!</v>
      </c>
    </row>
    <row r="451" spans="2:4" s="1" customFormat="1" x14ac:dyDescent="0.65">
      <c r="B451" s="4" t="s">
        <v>816</v>
      </c>
      <c r="C451" s="4" t="s">
        <v>817</v>
      </c>
      <c r="D451" s="3" t="e">
        <f>VLOOKUP(C451,#REF!,1,FALSE)</f>
        <v>#REF!</v>
      </c>
    </row>
    <row r="452" spans="2:4" s="1" customFormat="1" x14ac:dyDescent="0.65">
      <c r="B452" s="4" t="s">
        <v>818</v>
      </c>
      <c r="C452" s="4" t="s">
        <v>819</v>
      </c>
      <c r="D452" s="3" t="e">
        <f>VLOOKUP(C452,#REF!,1,FALSE)</f>
        <v>#REF!</v>
      </c>
    </row>
    <row r="453" spans="2:4" s="1" customFormat="1" x14ac:dyDescent="0.65">
      <c r="B453" s="4" t="s">
        <v>820</v>
      </c>
      <c r="C453" s="4" t="s">
        <v>821</v>
      </c>
      <c r="D453" s="3" t="e">
        <f>VLOOKUP(C453,#REF!,1,FALSE)</f>
        <v>#REF!</v>
      </c>
    </row>
    <row r="454" spans="2:4" s="1" customFormat="1" x14ac:dyDescent="0.65">
      <c r="B454" s="4" t="s">
        <v>822</v>
      </c>
      <c r="C454" s="4" t="s">
        <v>823</v>
      </c>
      <c r="D454" s="3" t="e">
        <f>VLOOKUP(C454,#REF!,1,FALSE)</f>
        <v>#REF!</v>
      </c>
    </row>
    <row r="455" spans="2:4" s="1" customFormat="1" x14ac:dyDescent="0.65">
      <c r="B455" s="4" t="s">
        <v>824</v>
      </c>
      <c r="C455" s="4" t="s">
        <v>825</v>
      </c>
      <c r="D455" s="3" t="e">
        <f>VLOOKUP(C455,#REF!,1,FALSE)</f>
        <v>#REF!</v>
      </c>
    </row>
    <row r="456" spans="2:4" s="1" customFormat="1" x14ac:dyDescent="0.65">
      <c r="B456" s="4" t="s">
        <v>677</v>
      </c>
      <c r="C456" s="4" t="s">
        <v>826</v>
      </c>
      <c r="D456" s="3" t="e">
        <f>VLOOKUP(C456,#REF!,1,FALSE)</f>
        <v>#REF!</v>
      </c>
    </row>
    <row r="457" spans="2:4" s="1" customFormat="1" x14ac:dyDescent="0.65">
      <c r="B457" s="4" t="s">
        <v>677</v>
      </c>
      <c r="C457" s="4" t="s">
        <v>827</v>
      </c>
      <c r="D457" s="3" t="e">
        <f>VLOOKUP(C457,#REF!,1,FALSE)</f>
        <v>#REF!</v>
      </c>
    </row>
    <row r="458" spans="2:4" s="1" customFormat="1" x14ac:dyDescent="0.65">
      <c r="B458" s="4" t="s">
        <v>677</v>
      </c>
      <c r="C458" s="4" t="s">
        <v>828</v>
      </c>
      <c r="D458" s="3" t="e">
        <f>VLOOKUP(C458,#REF!,1,FALSE)</f>
        <v>#REF!</v>
      </c>
    </row>
    <row r="459" spans="2:4" s="1" customFormat="1" x14ac:dyDescent="0.65">
      <c r="B459" s="4" t="s">
        <v>677</v>
      </c>
      <c r="C459" s="4" t="s">
        <v>829</v>
      </c>
      <c r="D459" s="3" t="e">
        <f>VLOOKUP(C459,#REF!,1,FALSE)</f>
        <v>#REF!</v>
      </c>
    </row>
    <row r="460" spans="2:4" s="1" customFormat="1" x14ac:dyDescent="0.65">
      <c r="B460" s="4" t="s">
        <v>677</v>
      </c>
      <c r="C460" s="4" t="s">
        <v>830</v>
      </c>
      <c r="D460" s="3" t="e">
        <f>VLOOKUP(C460,#REF!,1,FALSE)</f>
        <v>#REF!</v>
      </c>
    </row>
    <row r="461" spans="2:4" s="1" customFormat="1" x14ac:dyDescent="0.65">
      <c r="B461" s="4" t="s">
        <v>677</v>
      </c>
      <c r="C461" s="4" t="s">
        <v>831</v>
      </c>
      <c r="D461" s="3" t="e">
        <f>VLOOKUP(C461,#REF!,1,FALSE)</f>
        <v>#REF!</v>
      </c>
    </row>
    <row r="462" spans="2:4" s="1" customFormat="1" x14ac:dyDescent="0.65">
      <c r="B462" s="4" t="s">
        <v>677</v>
      </c>
      <c r="C462" s="4" t="s">
        <v>832</v>
      </c>
      <c r="D462" s="3" t="e">
        <f>VLOOKUP(C462,#REF!,1,FALSE)</f>
        <v>#REF!</v>
      </c>
    </row>
    <row r="463" spans="2:4" s="1" customFormat="1" x14ac:dyDescent="0.65">
      <c r="B463" s="4" t="s">
        <v>833</v>
      </c>
      <c r="C463" s="4" t="s">
        <v>834</v>
      </c>
      <c r="D463" s="3" t="e">
        <f>VLOOKUP(C463,#REF!,1,FALSE)</f>
        <v>#REF!</v>
      </c>
    </row>
    <row r="464" spans="2:4" s="1" customFormat="1" x14ac:dyDescent="0.65">
      <c r="B464" s="1" t="s">
        <v>869</v>
      </c>
      <c r="C464" s="1" t="s">
        <v>870</v>
      </c>
    </row>
    <row r="465" spans="2:3" s="1" customFormat="1" x14ac:dyDescent="0.65">
      <c r="B465" s="1" t="s">
        <v>872</v>
      </c>
      <c r="C465" s="1" t="s">
        <v>871</v>
      </c>
    </row>
  </sheetData>
  <mergeCells count="50">
    <mergeCell ref="F35:F36"/>
    <mergeCell ref="I44:M44"/>
    <mergeCell ref="I46:M46"/>
    <mergeCell ref="C29:I29"/>
    <mergeCell ref="J29:J32"/>
    <mergeCell ref="K29:L29"/>
    <mergeCell ref="C31:C32"/>
    <mergeCell ref="D31:D32"/>
    <mergeCell ref="E31:E32"/>
    <mergeCell ref="F31:F32"/>
    <mergeCell ref="G31:G32"/>
    <mergeCell ref="H31:H32"/>
    <mergeCell ref="I31:I32"/>
    <mergeCell ref="K31:K32"/>
    <mergeCell ref="L31:L32"/>
    <mergeCell ref="C24:E26"/>
    <mergeCell ref="G25:K25"/>
    <mergeCell ref="G26:K26"/>
    <mergeCell ref="D17:E17"/>
    <mergeCell ref="F17:L17"/>
    <mergeCell ref="C19:E19"/>
    <mergeCell ref="F19:L19"/>
    <mergeCell ref="C20:E20"/>
    <mergeCell ref="F20:L20"/>
    <mergeCell ref="C21:E21"/>
    <mergeCell ref="F21:L21"/>
    <mergeCell ref="C22:E22"/>
    <mergeCell ref="F22:L23"/>
    <mergeCell ref="C23:E23"/>
    <mergeCell ref="C15:L15"/>
    <mergeCell ref="P15:Q15"/>
    <mergeCell ref="R15:S15"/>
    <mergeCell ref="C7:E7"/>
    <mergeCell ref="F7:L7"/>
    <mergeCell ref="C8:E8"/>
    <mergeCell ref="F8:L8"/>
    <mergeCell ref="C10:G10"/>
    <mergeCell ref="H10:L10"/>
    <mergeCell ref="C11:C12"/>
    <mergeCell ref="D11:E12"/>
    <mergeCell ref="F11:L12"/>
    <mergeCell ref="C14:L14"/>
    <mergeCell ref="P14:Y14"/>
    <mergeCell ref="C6:E6"/>
    <mergeCell ref="F6:L6"/>
    <mergeCell ref="K1:M1"/>
    <mergeCell ref="C2:L2"/>
    <mergeCell ref="C3:L3"/>
    <mergeCell ref="C5:E5"/>
    <mergeCell ref="F5:L5"/>
  </mergeCells>
  <phoneticPr fontId="8"/>
  <printOptions horizontalCentered="1"/>
  <pageMargins left="0.11811023622047245" right="0.11811023622047245" top="0.39370078740157483" bottom="0.39370078740157483" header="0.31496062992125984" footer="0.31496062992125984"/>
  <pageSetup paperSize="9" scale="88"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1</vt:i4>
      </vt:variant>
    </vt:vector>
  </HeadingPairs>
  <TitlesOfParts>
    <vt:vector size="2" baseType="lpstr">
      <vt:lpstr>渡航費用説明同意書</vt:lpstr>
      <vt:lpstr>渡航費用説明同意書!Print_Area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中澤清</dc:creator>
  <cp:lastModifiedBy>CF-LV7-026</cp:lastModifiedBy>
  <cp:lastPrinted>2024-12-24T02:20:01Z</cp:lastPrinted>
  <dcterms:created xsi:type="dcterms:W3CDTF">2024-12-02T01:31:14Z</dcterms:created>
  <dcterms:modified xsi:type="dcterms:W3CDTF">2025-03-04T11:14:54Z</dcterms:modified>
</cp:coreProperties>
</file>